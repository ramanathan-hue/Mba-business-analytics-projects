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8" windowHeight="8208" activeTab="4"/>
  </bookViews>
  <sheets>
    <sheet name="11" sheetId="1" r:id="rId1"/>
    <sheet name=" 11,pivot table and charts" sheetId="2" r:id="rId2"/>
    <sheet name="11, correlation" sheetId="4" r:id="rId3"/>
    <sheet name="12" sheetId="6" r:id="rId4"/>
    <sheet name="12, correlation and regression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<sst xmlns="http://schemas.openxmlformats.org/spreadsheetml/2006/main" count="1174" uniqueCount="184">
  <si>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</si>
  <si>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</si>
  <si>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</si>
  <si>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</si>
  <si>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</si>
  <si>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</si>
  <si>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</si>
  <si>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</si>
  <si>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</si>
  <si>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</si>
  <si>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</si>
  <si>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</si>
  <si>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</si>
  <si>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</si>
  <si>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</si>
  <si>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</si>
  <si>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</si>
  <si>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</si>
  <si>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</si>
  <si>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</si>
  <si>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</si>
  <si>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</si>
  <si>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</si>
  <si>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</si>
  <si>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</si>
  <si>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</si>
  <si>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</si>
  <si>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</si>
  <si>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</si>
  <si>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</si>
  <si>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</si>
  <si>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</si>
  <si>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</si>
  <si>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</si>
  <si>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</si>
  <si>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</si>
  <si>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</si>
  <si>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</si>
  <si>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</si>
  <si>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</si>
  <si>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</si>
  <si>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</si>
  <si>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</si>
  <si>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</si>
  <si>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</si>
  <si>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</si>
  <si>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</si>
  <si>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</si>
  <si>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</si>
  <si>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</si>
  <si>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</si>
  <si>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</si>
  <si>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</si>
  <si>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</si>
  <si>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</si>
  <si>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</si>
  <si>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</si>
  <si>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</si>
  <si>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</si>
  <si>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</si>
  <si>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</si>
  <si>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</si>
  <si>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</si>
  <si>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</si>
  <si>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</si>
  <si>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</si>
  <si>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</si>
  <si>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</si>
  <si>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</si>
  <si>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</si>
  <si>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</si>
  <si>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</si>
  <si>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</si>
  <si>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</si>
  <si>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</si>
  <si>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</si>
  <si>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</si>
  <si>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</si>
  <si>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</si>
  <si>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</si>
  <si>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</si>
  <si>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</si>
  <si>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</si>
  <si>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</si>
  <si>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</si>
  <si>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</si>
  <si>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</si>
  <si>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</si>
  <si>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</si>
  <si>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</si>
  <si>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</si>
  <si>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</si>
  <si>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</si>
  <si>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</si>
  <si>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</si>
  <si>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</si>
  <si>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</si>
  <si>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</si>
  <si>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</si>
  <si>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</si>
  <si>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</si>
  <si>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</si>
  <si>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</si>
  <si>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</si>
  <si>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</si>
  <si>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</si>
  <si>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</si>
  <si>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</si>
  <si>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</si>
  <si>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</si>
  <si>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</si>
  <si>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</si>
  <si>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</si>
  <si>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</si>
  <si>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</si>
  <si>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</si>
  <si>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</si>
  <si>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</si>
  <si>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</si>
  <si>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</si>
  <si>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</si>
  <si>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</si>
  <si>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</si>
  <si>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</si>
  <si>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</si>
  <si>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</si>
  <si>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</si>
  <si>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</si>
  <si>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</si>
  <si>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</si>
  <si>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</si>
  <si>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</si>
  <si>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</si>
  <si>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</si>
  <si>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</si>
  <si>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</si>
  <si>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</si>
  <si>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</si>
  <si>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</si>
  <si>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</si>
  <si>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</si>
  <si>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</si>
  <si>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</si>
  <si>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</si>
  <si>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</si>
  <si>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</si>
  <si>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</si>
  <si>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</si>
  <si>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</si>
  <si>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</si>
  <si>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</si>
  <si>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</si>
  <si>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</si>
  <si>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</si>
  <si>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</si>
  <si>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Sum of Stock levels</t>
  </si>
  <si>
    <t>Count of Customer demographics</t>
  </si>
  <si>
    <t>Grand Total</t>
  </si>
  <si>
    <t>CORREL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</si>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</sst>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[20252MBL0023.DHILI KRISHNAN S.csv.xlsx] 11,pivot table and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suppliers</a:t>
            </a:r>
            <a:r>
              <a:rPr lang="en-US" baseline="0"/>
              <a:t> over stock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11,pivot table and charts'!$B$3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 11,pivot table and charts'!$A$4:$A$9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 11,pivot table and charts'!$B$4:$B$9</c:f>
              <c:numCache>
                <c:formatCode>General</c:formatCode>
                <c:ptCount val="5"/>
                <c:pt idx="0">
                  <c:v>1142</c:v>
                </c:pt>
                <c:pt idx="1">
                  <c:v>1022</c:v>
                </c:pt>
                <c:pt idx="2">
                  <c:v>654</c:v>
                </c:pt>
                <c:pt idx="3">
                  <c:v>1061</c:v>
                </c:pt>
                <c:pt idx="4">
                  <c:v>898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64904928"/>
        <c:axId val="2064905344"/>
      </c:lineChart>
      <c:catAx>
        <c:axId val="20649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4905344"/>
        <c:crosses val="autoZero"/>
        <c:auto val="1"/>
        <c:lblAlgn val="ctr"/>
        <c:lblOffset val="100"/>
        <c:noMultiLvlLbl val="0"/>
      </c:catAx>
      <c:valAx>
        <c:axId val="20649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4904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05998-291b-492c-90b6-18e778ff4e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[20252MBL0023.DHILI KRISHNAN S.csv.xlsx] 11,pivot table and charts!PivotTable2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cusomer</a:t>
            </a:r>
            <a:r>
              <a:rPr lang="en-IN" baseline="0"/>
              <a:t> demographics over the product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11,pivot table and charts'!$E$3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11,pivot table and charts'!$D$4:$D$7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 11,pivot table and charts'!$E$4:$E$7</c:f>
              <c:numCache>
                <c:formatCode>General</c:formatCode>
                <c:ptCount val="3"/>
                <c:pt idx="0">
                  <c:v>26</c:v>
                </c:pt>
                <c:pt idx="1">
                  <c:v>34</c:v>
                </c:pt>
                <c:pt idx="2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422960"/>
        <c:axId val="1794418800"/>
      </c:barChart>
      <c:catAx>
        <c:axId val="179442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418800"/>
        <c:crosses val="autoZero"/>
        <c:auto val="1"/>
        <c:lblAlgn val="ctr"/>
        <c:lblOffset val="100"/>
        <c:noMultiLvlLbl val="0"/>
      </c:catAx>
      <c:valAx>
        <c:axId val="17944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42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53f866-fcfd-4377-a670-3f70a8cfc5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manufacturing cost and production volume with product type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'11'!$AA$1</c:f>
              <c:strCache>
                <c:ptCount val="1"/>
                <c:pt idx="0">
                  <c:v>Manufacturing costs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'11'!$Z$2:$Z$101</c:f>
              <c:strCache>
                <c:ptCount val="100"/>
                <c:pt idx="0">
                  <c:v>haircare</c:v>
                </c:pt>
                <c:pt idx="1">
                  <c:v>skincare</c:v>
                </c:pt>
                <c:pt idx="2">
                  <c:v>haircare</c:v>
                </c:pt>
                <c:pt idx="3">
                  <c:v>skincare</c:v>
                </c:pt>
                <c:pt idx="4">
                  <c:v>skincare</c:v>
                </c:pt>
                <c:pt idx="5">
                  <c:v>haircare</c:v>
                </c:pt>
                <c:pt idx="6">
                  <c:v>skincare</c:v>
                </c:pt>
                <c:pt idx="7">
                  <c:v>cosmetics</c:v>
                </c:pt>
                <c:pt idx="8">
                  <c:v>cosmetics</c:v>
                </c:pt>
                <c:pt idx="9">
                  <c:v>skincare</c:v>
                </c:pt>
                <c:pt idx="10">
                  <c:v>skincare</c:v>
                </c:pt>
                <c:pt idx="11">
                  <c:v>skincare</c:v>
                </c:pt>
                <c:pt idx="12">
                  <c:v>haircare</c:v>
                </c:pt>
                <c:pt idx="13">
                  <c:v>skincare</c:v>
                </c:pt>
                <c:pt idx="14">
                  <c:v>skincare</c:v>
                </c:pt>
                <c:pt idx="15">
                  <c:v>skincare</c:v>
                </c:pt>
                <c:pt idx="16">
                  <c:v>skincare</c:v>
                </c:pt>
                <c:pt idx="17">
                  <c:v>cosmetics</c:v>
                </c:pt>
                <c:pt idx="18">
                  <c:v>haircare</c:v>
                </c:pt>
                <c:pt idx="19">
                  <c:v>skincare</c:v>
                </c:pt>
                <c:pt idx="20">
                  <c:v>skincare</c:v>
                </c:pt>
                <c:pt idx="21">
                  <c:v>cosmetics</c:v>
                </c:pt>
                <c:pt idx="22">
                  <c:v>haircare</c:v>
                </c:pt>
                <c:pt idx="23">
                  <c:v>cosmetics</c:v>
                </c:pt>
                <c:pt idx="24">
                  <c:v>haircare</c:v>
                </c:pt>
                <c:pt idx="25">
                  <c:v>haircare</c:v>
                </c:pt>
                <c:pt idx="26">
                  <c:v>haircare</c:v>
                </c:pt>
                <c:pt idx="27">
                  <c:v>cosmetics</c:v>
                </c:pt>
                <c:pt idx="28">
                  <c:v>cosmetics</c:v>
                </c:pt>
                <c:pt idx="29">
                  <c:v>cosmetics</c:v>
                </c:pt>
                <c:pt idx="30">
                  <c:v>haircare</c:v>
                </c:pt>
                <c:pt idx="31">
                  <c:v>skincare</c:v>
                </c:pt>
                <c:pt idx="32">
                  <c:v>skincare</c:v>
                </c:pt>
                <c:pt idx="33">
                  <c:v>cosmetics</c:v>
                </c:pt>
                <c:pt idx="34">
                  <c:v>skincare</c:v>
                </c:pt>
                <c:pt idx="35">
                  <c:v>cosmetics</c:v>
                </c:pt>
                <c:pt idx="36">
                  <c:v>skincare</c:v>
                </c:pt>
                <c:pt idx="37">
                  <c:v>skincare</c:v>
                </c:pt>
                <c:pt idx="38">
                  <c:v>cosmetics</c:v>
                </c:pt>
                <c:pt idx="39">
                  <c:v>skincare</c:v>
                </c:pt>
                <c:pt idx="40">
                  <c:v>skincare</c:v>
                </c:pt>
                <c:pt idx="41">
                  <c:v>skincare</c:v>
                </c:pt>
                <c:pt idx="42">
                  <c:v>skincare</c:v>
                </c:pt>
                <c:pt idx="43">
                  <c:v>haircare</c:v>
                </c:pt>
                <c:pt idx="44">
                  <c:v>cosmetics</c:v>
                </c:pt>
                <c:pt idx="45">
                  <c:v>haircare</c:v>
                </c:pt>
                <c:pt idx="46">
                  <c:v>haircare</c:v>
                </c:pt>
                <c:pt idx="47">
                  <c:v>skincare</c:v>
                </c:pt>
                <c:pt idx="48">
                  <c:v>haircare</c:v>
                </c:pt>
                <c:pt idx="49">
                  <c:v>cosmetics</c:v>
                </c:pt>
                <c:pt idx="50">
                  <c:v>cosmetics</c:v>
                </c:pt>
                <c:pt idx="51">
                  <c:v>haircare</c:v>
                </c:pt>
                <c:pt idx="52">
                  <c:v>skincare</c:v>
                </c:pt>
                <c:pt idx="53">
                  <c:v>skincare</c:v>
                </c:pt>
                <c:pt idx="54">
                  <c:v>haircare</c:v>
                </c:pt>
                <c:pt idx="55">
                  <c:v>haircare</c:v>
                </c:pt>
                <c:pt idx="56">
                  <c:v>skincare</c:v>
                </c:pt>
                <c:pt idx="57">
                  <c:v>haircare</c:v>
                </c:pt>
                <c:pt idx="58">
                  <c:v>skincare</c:v>
                </c:pt>
                <c:pt idx="59">
                  <c:v>cosmetics</c:v>
                </c:pt>
                <c:pt idx="60">
                  <c:v>skincare</c:v>
                </c:pt>
                <c:pt idx="61">
                  <c:v>haircare</c:v>
                </c:pt>
                <c:pt idx="62">
                  <c:v>cosmetics</c:v>
                </c:pt>
                <c:pt idx="63">
                  <c:v>skincare</c:v>
                </c:pt>
                <c:pt idx="64">
                  <c:v>skincare</c:v>
                </c:pt>
                <c:pt idx="65">
                  <c:v>skincare</c:v>
                </c:pt>
                <c:pt idx="66">
                  <c:v>skincare</c:v>
                </c:pt>
                <c:pt idx="67">
                  <c:v>skincare</c:v>
                </c:pt>
                <c:pt idx="68">
                  <c:v>haircare</c:v>
                </c:pt>
                <c:pt idx="69">
                  <c:v>skincare</c:v>
                </c:pt>
                <c:pt idx="70">
                  <c:v>haircare</c:v>
                </c:pt>
                <c:pt idx="71">
                  <c:v>cosmetics</c:v>
                </c:pt>
                <c:pt idx="72">
                  <c:v>cosmetics</c:v>
                </c:pt>
                <c:pt idx="73">
                  <c:v>cosmetics</c:v>
                </c:pt>
                <c:pt idx="74">
                  <c:v>haircare</c:v>
                </c:pt>
                <c:pt idx="75">
                  <c:v>skincare</c:v>
                </c:pt>
                <c:pt idx="76">
                  <c:v>haircare</c:v>
                </c:pt>
                <c:pt idx="77">
                  <c:v>haircare</c:v>
                </c:pt>
                <c:pt idx="78">
                  <c:v>haircare</c:v>
                </c:pt>
                <c:pt idx="79">
                  <c:v>haircare</c:v>
                </c:pt>
                <c:pt idx="80">
                  <c:v>skincare</c:v>
                </c:pt>
                <c:pt idx="81">
                  <c:v>haircare</c:v>
                </c:pt>
                <c:pt idx="82">
                  <c:v>skincare</c:v>
                </c:pt>
                <c:pt idx="83">
                  <c:v>haircare</c:v>
                </c:pt>
                <c:pt idx="84">
                  <c:v>haircare</c:v>
                </c:pt>
                <c:pt idx="85">
                  <c:v>cosmetics</c:v>
                </c:pt>
                <c:pt idx="86">
                  <c:v>skincare</c:v>
                </c:pt>
                <c:pt idx="87">
                  <c:v>haircare</c:v>
                </c:pt>
                <c:pt idx="88">
                  <c:v>cosmetics</c:v>
                </c:pt>
                <c:pt idx="89">
                  <c:v>cosmetics</c:v>
                </c:pt>
                <c:pt idx="90">
                  <c:v>skincare</c:v>
                </c:pt>
                <c:pt idx="91">
                  <c:v>cosmetics</c:v>
                </c:pt>
                <c:pt idx="92">
                  <c:v>cosmetics</c:v>
                </c:pt>
                <c:pt idx="93">
                  <c:v>haircare</c:v>
                </c:pt>
                <c:pt idx="94">
                  <c:v>cosmetics</c:v>
                </c:pt>
                <c:pt idx="95">
                  <c:v>haircare</c:v>
                </c:pt>
                <c:pt idx="96">
                  <c:v>cosmetics</c:v>
                </c:pt>
                <c:pt idx="97">
                  <c:v>haircare</c:v>
                </c:pt>
                <c:pt idx="98">
                  <c:v>skincare</c:v>
                </c:pt>
                <c:pt idx="99">
                  <c:v>haircare</c:v>
                </c:pt>
              </c:strCache>
            </c:strRef>
          </c:cat>
          <c:val>
            <c:numRef>
              <c:f>'11'!$AA$2:$AA$101</c:f>
              <c:numCache>
                <c:formatCode>General</c:formatCode>
                <c:ptCount val="100"/>
                <c:pt idx="0">
                  <c:v>46.27987924</c:v>
                </c:pt>
                <c:pt idx="1">
                  <c:v>33.61676895</c:v>
                </c:pt>
                <c:pt idx="2">
                  <c:v>30.68801935</c:v>
                </c:pt>
                <c:pt idx="3">
                  <c:v>35.6247414</c:v>
                </c:pt>
                <c:pt idx="4">
                  <c:v>92.0651606</c:v>
                </c:pt>
                <c:pt idx="5">
                  <c:v>56.76647556</c:v>
                </c:pt>
                <c:pt idx="6">
                  <c:v>1.08506857</c:v>
                </c:pt>
                <c:pt idx="7">
                  <c:v>99.4661086</c:v>
                </c:pt>
                <c:pt idx="8">
                  <c:v>11.42302714</c:v>
                </c:pt>
                <c:pt idx="9">
                  <c:v>47.95760163</c:v>
                </c:pt>
                <c:pt idx="10">
                  <c:v>96.52735279</c:v>
                </c:pt>
                <c:pt idx="11">
                  <c:v>27.59236309</c:v>
                </c:pt>
                <c:pt idx="12">
                  <c:v>32.32128621</c:v>
                </c:pt>
                <c:pt idx="13">
                  <c:v>97.82905011</c:v>
                </c:pt>
                <c:pt idx="14">
                  <c:v>5.79143663</c:v>
                </c:pt>
                <c:pt idx="15">
                  <c:v>97.12128175</c:v>
                </c:pt>
                <c:pt idx="16">
                  <c:v>77.1063425</c:v>
                </c:pt>
                <c:pt idx="17">
                  <c:v>47.67968037</c:v>
                </c:pt>
                <c:pt idx="18">
                  <c:v>27.10798085</c:v>
                </c:pt>
                <c:pt idx="19">
                  <c:v>82.37332059</c:v>
                </c:pt>
                <c:pt idx="20">
                  <c:v>65.68625961</c:v>
                </c:pt>
                <c:pt idx="21">
                  <c:v>61.73572895</c:v>
                </c:pt>
                <c:pt idx="22">
                  <c:v>50.12083961</c:v>
                </c:pt>
                <c:pt idx="23">
                  <c:v>98.60995724</c:v>
                </c:pt>
                <c:pt idx="24">
                  <c:v>40.3823597</c:v>
                </c:pt>
                <c:pt idx="25">
                  <c:v>78.28038312</c:v>
                </c:pt>
                <c:pt idx="26">
                  <c:v>15.97222976</c:v>
                </c:pt>
                <c:pt idx="27">
                  <c:v>10.52824507</c:v>
                </c:pt>
                <c:pt idx="28">
                  <c:v>59.42938181</c:v>
                </c:pt>
                <c:pt idx="29">
                  <c:v>39.29287559</c:v>
                </c:pt>
                <c:pt idx="30">
                  <c:v>51.6348934</c:v>
                </c:pt>
                <c:pt idx="31">
                  <c:v>60.25114566</c:v>
                </c:pt>
                <c:pt idx="32">
                  <c:v>29.69246715</c:v>
                </c:pt>
                <c:pt idx="33">
                  <c:v>23.85342751</c:v>
                </c:pt>
                <c:pt idx="34">
                  <c:v>10.75427282</c:v>
                </c:pt>
                <c:pt idx="35">
                  <c:v>58.00478704</c:v>
                </c:pt>
                <c:pt idx="36">
                  <c:v>45.53136424</c:v>
                </c:pt>
                <c:pt idx="37">
                  <c:v>34.34327747</c:v>
                </c:pt>
                <c:pt idx="38">
                  <c:v>5.930693646</c:v>
                </c:pt>
                <c:pt idx="39">
                  <c:v>9.005807429</c:v>
                </c:pt>
                <c:pt idx="40">
                  <c:v>88.1794071</c:v>
                </c:pt>
                <c:pt idx="41">
                  <c:v>95.33206455</c:v>
                </c:pt>
                <c:pt idx="42">
                  <c:v>96.42282064</c:v>
                </c:pt>
                <c:pt idx="43">
                  <c:v>26.27736596</c:v>
                </c:pt>
                <c:pt idx="44">
                  <c:v>22.55410662</c:v>
                </c:pt>
                <c:pt idx="45">
                  <c:v>66.31254444</c:v>
                </c:pt>
                <c:pt idx="46">
                  <c:v>77.32235321</c:v>
                </c:pt>
                <c:pt idx="47">
                  <c:v>19.71299291</c:v>
                </c:pt>
                <c:pt idx="48">
                  <c:v>23.12636358</c:v>
                </c:pt>
                <c:pt idx="49">
                  <c:v>14.14781544</c:v>
                </c:pt>
                <c:pt idx="50">
                  <c:v>45.17875792</c:v>
                </c:pt>
                <c:pt idx="51">
                  <c:v>14.19032834</c:v>
                </c:pt>
                <c:pt idx="52">
                  <c:v>9.166849149</c:v>
                </c:pt>
                <c:pt idx="53">
                  <c:v>83.34405899</c:v>
                </c:pt>
                <c:pt idx="54">
                  <c:v>30.18602338</c:v>
                </c:pt>
                <c:pt idx="55">
                  <c:v>30.32354526</c:v>
                </c:pt>
                <c:pt idx="56">
                  <c:v>12.83628457</c:v>
                </c:pt>
                <c:pt idx="57">
                  <c:v>67.77962299</c:v>
                </c:pt>
                <c:pt idx="58">
                  <c:v>65.04741509</c:v>
                </c:pt>
                <c:pt idx="59">
                  <c:v>1.900762244</c:v>
                </c:pt>
                <c:pt idx="60">
                  <c:v>87.21305782</c:v>
                </c:pt>
                <c:pt idx="61">
                  <c:v>78.70239397</c:v>
                </c:pt>
                <c:pt idx="62">
                  <c:v>21.04864273</c:v>
                </c:pt>
                <c:pt idx="63">
                  <c:v>20.07500398</c:v>
                </c:pt>
                <c:pt idx="64">
                  <c:v>8.693042426</c:v>
                </c:pt>
                <c:pt idx="65">
                  <c:v>1.597222743</c:v>
                </c:pt>
                <c:pt idx="66">
                  <c:v>42.08443674</c:v>
                </c:pt>
                <c:pt idx="67">
                  <c:v>7.057876147</c:v>
                </c:pt>
                <c:pt idx="68">
                  <c:v>97.11358156</c:v>
                </c:pt>
                <c:pt idx="69">
                  <c:v>77.62776581</c:v>
                </c:pt>
                <c:pt idx="70">
                  <c:v>11.44078182</c:v>
                </c:pt>
                <c:pt idx="71">
                  <c:v>30.66167748</c:v>
                </c:pt>
                <c:pt idx="72">
                  <c:v>55.7604929</c:v>
                </c:pt>
                <c:pt idx="73">
                  <c:v>46.8702388</c:v>
                </c:pt>
                <c:pt idx="74">
                  <c:v>80.58085216</c:v>
                </c:pt>
                <c:pt idx="75">
                  <c:v>48.06478264</c:v>
                </c:pt>
                <c:pt idx="76">
                  <c:v>64.3235978</c:v>
                </c:pt>
                <c:pt idx="77">
                  <c:v>42.95244475</c:v>
                </c:pt>
                <c:pt idx="78">
                  <c:v>71.12651472</c:v>
                </c:pt>
                <c:pt idx="79">
                  <c:v>57.87090292</c:v>
                </c:pt>
                <c:pt idx="80">
                  <c:v>76.96122802</c:v>
                </c:pt>
                <c:pt idx="81">
                  <c:v>19.78959294</c:v>
                </c:pt>
                <c:pt idx="82">
                  <c:v>4.465278435</c:v>
                </c:pt>
                <c:pt idx="83">
                  <c:v>97.7305938</c:v>
                </c:pt>
                <c:pt idx="84">
                  <c:v>33.80863651</c:v>
                </c:pt>
                <c:pt idx="85">
                  <c:v>69.92934552</c:v>
                </c:pt>
                <c:pt idx="86">
                  <c:v>74.60897</c:v>
                </c:pt>
                <c:pt idx="87">
                  <c:v>28.69699682</c:v>
                </c:pt>
                <c:pt idx="88">
                  <c:v>68.18491906</c:v>
                </c:pt>
                <c:pt idx="89">
                  <c:v>46.60387338</c:v>
                </c:pt>
                <c:pt idx="90">
                  <c:v>85.67596334</c:v>
                </c:pt>
                <c:pt idx="91">
                  <c:v>39.7728825</c:v>
                </c:pt>
                <c:pt idx="92">
                  <c:v>62.6126904</c:v>
                </c:pt>
                <c:pt idx="93">
                  <c:v>35.63365234</c:v>
                </c:pt>
                <c:pt idx="94">
                  <c:v>60.38737861</c:v>
                </c:pt>
                <c:pt idx="95">
                  <c:v>58.89068577</c:v>
                </c:pt>
                <c:pt idx="96">
                  <c:v>17.80375633</c:v>
                </c:pt>
                <c:pt idx="97">
                  <c:v>65.76515593</c:v>
                </c:pt>
                <c:pt idx="98">
                  <c:v>5.604690864</c:v>
                </c:pt>
                <c:pt idx="99">
                  <c:v>38.07289852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'11'!$AB$1</c:f>
              <c:strCache>
                <c:ptCount val="1"/>
                <c:pt idx="0">
                  <c:v>Production volumes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'11'!$Z$2:$Z$101</c:f>
              <c:strCache>
                <c:ptCount val="100"/>
                <c:pt idx="0">
                  <c:v>haircare</c:v>
                </c:pt>
                <c:pt idx="1">
                  <c:v>skincare</c:v>
                </c:pt>
                <c:pt idx="2">
                  <c:v>haircare</c:v>
                </c:pt>
                <c:pt idx="3">
                  <c:v>skincare</c:v>
                </c:pt>
                <c:pt idx="4">
                  <c:v>skincare</c:v>
                </c:pt>
                <c:pt idx="5">
                  <c:v>haircare</c:v>
                </c:pt>
                <c:pt idx="6">
                  <c:v>skincare</c:v>
                </c:pt>
                <c:pt idx="7">
                  <c:v>cosmetics</c:v>
                </c:pt>
                <c:pt idx="8">
                  <c:v>cosmetics</c:v>
                </c:pt>
                <c:pt idx="9">
                  <c:v>skincare</c:v>
                </c:pt>
                <c:pt idx="10">
                  <c:v>skincare</c:v>
                </c:pt>
                <c:pt idx="11">
                  <c:v>skincare</c:v>
                </c:pt>
                <c:pt idx="12">
                  <c:v>haircare</c:v>
                </c:pt>
                <c:pt idx="13">
                  <c:v>skincare</c:v>
                </c:pt>
                <c:pt idx="14">
                  <c:v>skincare</c:v>
                </c:pt>
                <c:pt idx="15">
                  <c:v>skincare</c:v>
                </c:pt>
                <c:pt idx="16">
                  <c:v>skincare</c:v>
                </c:pt>
                <c:pt idx="17">
                  <c:v>cosmetics</c:v>
                </c:pt>
                <c:pt idx="18">
                  <c:v>haircare</c:v>
                </c:pt>
                <c:pt idx="19">
                  <c:v>skincare</c:v>
                </c:pt>
                <c:pt idx="20">
                  <c:v>skincare</c:v>
                </c:pt>
                <c:pt idx="21">
                  <c:v>cosmetics</c:v>
                </c:pt>
                <c:pt idx="22">
                  <c:v>haircare</c:v>
                </c:pt>
                <c:pt idx="23">
                  <c:v>cosmetics</c:v>
                </c:pt>
                <c:pt idx="24">
                  <c:v>haircare</c:v>
                </c:pt>
                <c:pt idx="25">
                  <c:v>haircare</c:v>
                </c:pt>
                <c:pt idx="26">
                  <c:v>haircare</c:v>
                </c:pt>
                <c:pt idx="27">
                  <c:v>cosmetics</c:v>
                </c:pt>
                <c:pt idx="28">
                  <c:v>cosmetics</c:v>
                </c:pt>
                <c:pt idx="29">
                  <c:v>cosmetics</c:v>
                </c:pt>
                <c:pt idx="30">
                  <c:v>haircare</c:v>
                </c:pt>
                <c:pt idx="31">
                  <c:v>skincare</c:v>
                </c:pt>
                <c:pt idx="32">
                  <c:v>skincare</c:v>
                </c:pt>
                <c:pt idx="33">
                  <c:v>cosmetics</c:v>
                </c:pt>
                <c:pt idx="34">
                  <c:v>skincare</c:v>
                </c:pt>
                <c:pt idx="35">
                  <c:v>cosmetics</c:v>
                </c:pt>
                <c:pt idx="36">
                  <c:v>skincare</c:v>
                </c:pt>
                <c:pt idx="37">
                  <c:v>skincare</c:v>
                </c:pt>
                <c:pt idx="38">
                  <c:v>cosmetics</c:v>
                </c:pt>
                <c:pt idx="39">
                  <c:v>skincare</c:v>
                </c:pt>
                <c:pt idx="40">
                  <c:v>skincare</c:v>
                </c:pt>
                <c:pt idx="41">
                  <c:v>skincare</c:v>
                </c:pt>
                <c:pt idx="42">
                  <c:v>skincare</c:v>
                </c:pt>
                <c:pt idx="43">
                  <c:v>haircare</c:v>
                </c:pt>
                <c:pt idx="44">
                  <c:v>cosmetics</c:v>
                </c:pt>
                <c:pt idx="45">
                  <c:v>haircare</c:v>
                </c:pt>
                <c:pt idx="46">
                  <c:v>haircare</c:v>
                </c:pt>
                <c:pt idx="47">
                  <c:v>skincare</c:v>
                </c:pt>
                <c:pt idx="48">
                  <c:v>haircare</c:v>
                </c:pt>
                <c:pt idx="49">
                  <c:v>cosmetics</c:v>
                </c:pt>
                <c:pt idx="50">
                  <c:v>cosmetics</c:v>
                </c:pt>
                <c:pt idx="51">
                  <c:v>haircare</c:v>
                </c:pt>
                <c:pt idx="52">
                  <c:v>skincare</c:v>
                </c:pt>
                <c:pt idx="53">
                  <c:v>skincare</c:v>
                </c:pt>
                <c:pt idx="54">
                  <c:v>haircare</c:v>
                </c:pt>
                <c:pt idx="55">
                  <c:v>haircare</c:v>
                </c:pt>
                <c:pt idx="56">
                  <c:v>skincare</c:v>
                </c:pt>
                <c:pt idx="57">
                  <c:v>haircare</c:v>
                </c:pt>
                <c:pt idx="58">
                  <c:v>skincare</c:v>
                </c:pt>
                <c:pt idx="59">
                  <c:v>cosmetics</c:v>
                </c:pt>
                <c:pt idx="60">
                  <c:v>skincare</c:v>
                </c:pt>
                <c:pt idx="61">
                  <c:v>haircare</c:v>
                </c:pt>
                <c:pt idx="62">
                  <c:v>cosmetics</c:v>
                </c:pt>
                <c:pt idx="63">
                  <c:v>skincare</c:v>
                </c:pt>
                <c:pt idx="64">
                  <c:v>skincare</c:v>
                </c:pt>
                <c:pt idx="65">
                  <c:v>skincare</c:v>
                </c:pt>
                <c:pt idx="66">
                  <c:v>skincare</c:v>
                </c:pt>
                <c:pt idx="67">
                  <c:v>skincare</c:v>
                </c:pt>
                <c:pt idx="68">
                  <c:v>haircare</c:v>
                </c:pt>
                <c:pt idx="69">
                  <c:v>skincare</c:v>
                </c:pt>
                <c:pt idx="70">
                  <c:v>haircare</c:v>
                </c:pt>
                <c:pt idx="71">
                  <c:v>cosmetics</c:v>
                </c:pt>
                <c:pt idx="72">
                  <c:v>cosmetics</c:v>
                </c:pt>
                <c:pt idx="73">
                  <c:v>cosmetics</c:v>
                </c:pt>
                <c:pt idx="74">
                  <c:v>haircare</c:v>
                </c:pt>
                <c:pt idx="75">
                  <c:v>skincare</c:v>
                </c:pt>
                <c:pt idx="76">
                  <c:v>haircare</c:v>
                </c:pt>
                <c:pt idx="77">
                  <c:v>haircare</c:v>
                </c:pt>
                <c:pt idx="78">
                  <c:v>haircare</c:v>
                </c:pt>
                <c:pt idx="79">
                  <c:v>haircare</c:v>
                </c:pt>
                <c:pt idx="80">
                  <c:v>skincare</c:v>
                </c:pt>
                <c:pt idx="81">
                  <c:v>haircare</c:v>
                </c:pt>
                <c:pt idx="82">
                  <c:v>skincare</c:v>
                </c:pt>
                <c:pt idx="83">
                  <c:v>haircare</c:v>
                </c:pt>
                <c:pt idx="84">
                  <c:v>haircare</c:v>
                </c:pt>
                <c:pt idx="85">
                  <c:v>cosmetics</c:v>
                </c:pt>
                <c:pt idx="86">
                  <c:v>skincare</c:v>
                </c:pt>
                <c:pt idx="87">
                  <c:v>haircare</c:v>
                </c:pt>
                <c:pt idx="88">
                  <c:v>cosmetics</c:v>
                </c:pt>
                <c:pt idx="89">
                  <c:v>cosmetics</c:v>
                </c:pt>
                <c:pt idx="90">
                  <c:v>skincare</c:v>
                </c:pt>
                <c:pt idx="91">
                  <c:v>cosmetics</c:v>
                </c:pt>
                <c:pt idx="92">
                  <c:v>cosmetics</c:v>
                </c:pt>
                <c:pt idx="93">
                  <c:v>haircare</c:v>
                </c:pt>
                <c:pt idx="94">
                  <c:v>cosmetics</c:v>
                </c:pt>
                <c:pt idx="95">
                  <c:v>haircare</c:v>
                </c:pt>
                <c:pt idx="96">
                  <c:v>cosmetics</c:v>
                </c:pt>
                <c:pt idx="97">
                  <c:v>haircare</c:v>
                </c:pt>
                <c:pt idx="98">
                  <c:v>skincare</c:v>
                </c:pt>
                <c:pt idx="99">
                  <c:v>haircare</c:v>
                </c:pt>
              </c:strCache>
            </c:strRef>
          </c:cat>
          <c:val>
            <c:numRef>
              <c:f>'11'!$AB$2:$AB$101</c:f>
              <c:numCache>
                <c:formatCode>General</c:formatCode>
                <c:ptCount val="100"/>
                <c:pt idx="0">
                  <c:v>215</c:v>
                </c:pt>
                <c:pt idx="1">
                  <c:v>517</c:v>
                </c:pt>
                <c:pt idx="2">
                  <c:v>971</c:v>
                </c:pt>
                <c:pt idx="3">
                  <c:v>937</c:v>
                </c:pt>
                <c:pt idx="4">
                  <c:v>414</c:v>
                </c:pt>
                <c:pt idx="5">
                  <c:v>104</c:v>
                </c:pt>
                <c:pt idx="6">
                  <c:v>314</c:v>
                </c:pt>
                <c:pt idx="7">
                  <c:v>564</c:v>
                </c:pt>
                <c:pt idx="8">
                  <c:v>769</c:v>
                </c:pt>
                <c:pt idx="9">
                  <c:v>963</c:v>
                </c:pt>
                <c:pt idx="10">
                  <c:v>830</c:v>
                </c:pt>
                <c:pt idx="11">
                  <c:v>362</c:v>
                </c:pt>
                <c:pt idx="12">
                  <c:v>563</c:v>
                </c:pt>
                <c:pt idx="13">
                  <c:v>173</c:v>
                </c:pt>
                <c:pt idx="14">
                  <c:v>558</c:v>
                </c:pt>
                <c:pt idx="15">
                  <c:v>580</c:v>
                </c:pt>
                <c:pt idx="16">
                  <c:v>399</c:v>
                </c:pt>
                <c:pt idx="17">
                  <c:v>453</c:v>
                </c:pt>
                <c:pt idx="18">
                  <c:v>374</c:v>
                </c:pt>
                <c:pt idx="19">
                  <c:v>694</c:v>
                </c:pt>
                <c:pt idx="20">
                  <c:v>309</c:v>
                </c:pt>
                <c:pt idx="21">
                  <c:v>791</c:v>
                </c:pt>
                <c:pt idx="22">
                  <c:v>780</c:v>
                </c:pt>
                <c:pt idx="23">
                  <c:v>568</c:v>
                </c:pt>
                <c:pt idx="24">
                  <c:v>447</c:v>
                </c:pt>
                <c:pt idx="25">
                  <c:v>934</c:v>
                </c:pt>
                <c:pt idx="26">
                  <c:v>171</c:v>
                </c:pt>
                <c:pt idx="27">
                  <c:v>291</c:v>
                </c:pt>
                <c:pt idx="28">
                  <c:v>171</c:v>
                </c:pt>
                <c:pt idx="29">
                  <c:v>329</c:v>
                </c:pt>
                <c:pt idx="30">
                  <c:v>806</c:v>
                </c:pt>
                <c:pt idx="31">
                  <c:v>461</c:v>
                </c:pt>
                <c:pt idx="32">
                  <c:v>737</c:v>
                </c:pt>
                <c:pt idx="33">
                  <c:v>251</c:v>
                </c:pt>
                <c:pt idx="34">
                  <c:v>452</c:v>
                </c:pt>
                <c:pt idx="35">
                  <c:v>367</c:v>
                </c:pt>
                <c:pt idx="36">
                  <c:v>671</c:v>
                </c:pt>
                <c:pt idx="37">
                  <c:v>867</c:v>
                </c:pt>
                <c:pt idx="38">
                  <c:v>841</c:v>
                </c:pt>
                <c:pt idx="39">
                  <c:v>791</c:v>
                </c:pt>
                <c:pt idx="40">
                  <c:v>793</c:v>
                </c:pt>
                <c:pt idx="41">
                  <c:v>892</c:v>
                </c:pt>
                <c:pt idx="42">
                  <c:v>179</c:v>
                </c:pt>
                <c:pt idx="43">
                  <c:v>206</c:v>
                </c:pt>
                <c:pt idx="44">
                  <c:v>834</c:v>
                </c:pt>
                <c:pt idx="45">
                  <c:v>794</c:v>
                </c:pt>
                <c:pt idx="46">
                  <c:v>870</c:v>
                </c:pt>
                <c:pt idx="47">
                  <c:v>964</c:v>
                </c:pt>
                <c:pt idx="48">
                  <c:v>109</c:v>
                </c:pt>
                <c:pt idx="49">
                  <c:v>177</c:v>
                </c:pt>
                <c:pt idx="50">
                  <c:v>306</c:v>
                </c:pt>
                <c:pt idx="51">
                  <c:v>673</c:v>
                </c:pt>
                <c:pt idx="52">
                  <c:v>727</c:v>
                </c:pt>
                <c:pt idx="53">
                  <c:v>631</c:v>
                </c:pt>
                <c:pt idx="54">
                  <c:v>497</c:v>
                </c:pt>
                <c:pt idx="55">
                  <c:v>918</c:v>
                </c:pt>
                <c:pt idx="56">
                  <c:v>826</c:v>
                </c:pt>
                <c:pt idx="57">
                  <c:v>588</c:v>
                </c:pt>
                <c:pt idx="58">
                  <c:v>396</c:v>
                </c:pt>
                <c:pt idx="59">
                  <c:v>176</c:v>
                </c:pt>
                <c:pt idx="60">
                  <c:v>929</c:v>
                </c:pt>
                <c:pt idx="61">
                  <c:v>480</c:v>
                </c:pt>
                <c:pt idx="62">
                  <c:v>751</c:v>
                </c:pt>
                <c:pt idx="63">
                  <c:v>736</c:v>
                </c:pt>
                <c:pt idx="64">
                  <c:v>328</c:v>
                </c:pt>
                <c:pt idx="65">
                  <c:v>358</c:v>
                </c:pt>
                <c:pt idx="66">
                  <c:v>867</c:v>
                </c:pt>
                <c:pt idx="67">
                  <c:v>198</c:v>
                </c:pt>
                <c:pt idx="68">
                  <c:v>375</c:v>
                </c:pt>
                <c:pt idx="69">
                  <c:v>862</c:v>
                </c:pt>
                <c:pt idx="70">
                  <c:v>775</c:v>
                </c:pt>
                <c:pt idx="71">
                  <c:v>258</c:v>
                </c:pt>
                <c:pt idx="72">
                  <c:v>152</c:v>
                </c:pt>
                <c:pt idx="73">
                  <c:v>444</c:v>
                </c:pt>
                <c:pt idx="74">
                  <c:v>919</c:v>
                </c:pt>
                <c:pt idx="75">
                  <c:v>759</c:v>
                </c:pt>
                <c:pt idx="76">
                  <c:v>985</c:v>
                </c:pt>
                <c:pt idx="77">
                  <c:v>334</c:v>
                </c:pt>
                <c:pt idx="78">
                  <c:v>858</c:v>
                </c:pt>
                <c:pt idx="79">
                  <c:v>228</c:v>
                </c:pt>
                <c:pt idx="80">
                  <c:v>202</c:v>
                </c:pt>
                <c:pt idx="81">
                  <c:v>698</c:v>
                </c:pt>
                <c:pt idx="82">
                  <c:v>955</c:v>
                </c:pt>
                <c:pt idx="83">
                  <c:v>443</c:v>
                </c:pt>
                <c:pt idx="84">
                  <c:v>589</c:v>
                </c:pt>
                <c:pt idx="85">
                  <c:v>211</c:v>
                </c:pt>
                <c:pt idx="86">
                  <c:v>569</c:v>
                </c:pt>
                <c:pt idx="87">
                  <c:v>523</c:v>
                </c:pt>
                <c:pt idx="88">
                  <c:v>953</c:v>
                </c:pt>
                <c:pt idx="89">
                  <c:v>370</c:v>
                </c:pt>
                <c:pt idx="90">
                  <c:v>585</c:v>
                </c:pt>
                <c:pt idx="91">
                  <c:v>207</c:v>
                </c:pt>
                <c:pt idx="92">
                  <c:v>671</c:v>
                </c:pt>
                <c:pt idx="93">
                  <c:v>824</c:v>
                </c:pt>
                <c:pt idx="94">
                  <c:v>908</c:v>
                </c:pt>
                <c:pt idx="95">
                  <c:v>450</c:v>
                </c:pt>
                <c:pt idx="96">
                  <c:v>648</c:v>
                </c:pt>
                <c:pt idx="97">
                  <c:v>535</c:v>
                </c:pt>
                <c:pt idx="98">
                  <c:v>581</c:v>
                </c:pt>
                <c:pt idx="99">
                  <c:v>921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615520"/>
        <c:axId val="44620928"/>
      </c:lineChart>
      <c:catAx>
        <c:axId val="4461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20928"/>
        <c:crosses val="autoZero"/>
        <c:auto val="1"/>
        <c:lblAlgn val="ctr"/>
        <c:lblOffset val="100"/>
        <c:noMultiLvlLbl val="0"/>
      </c:catAx>
      <c:valAx>
        <c:axId val="446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307ad20-515b-45d6-8eb4-d17abe1bfc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114300</xdr:colOff>
      <xdr:row>10</xdr:row>
      <xdr:rowOff>9525</xdr:rowOff>
    </xdr:from>
    <xdr:to>
      <xdr:col>4</xdr:col>
      <xdr:colOff>1933575</xdr:colOff>
      <xdr:row>24</xdr:row>
      <xdr:rowOff>85725</xdr:rowOff>
    </xdr:to>
    <xdr:graphicFrame>
      <xdr:nvGraphicFramePr>
        <xdr:cNvPr id="2" name="Chart 1"/>
        <xdr:cNvGraphicFramePr/>
      </xdr:nvGraphicFramePr>
      <xdr:xfrm>
        <a:off x="114300" y="1838325"/>
        <a:ext cx="555117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10</xdr:row>
      <xdr:rowOff>9525</xdr:rowOff>
    </xdr:from>
    <xdr:to>
      <xdr:col>11</xdr:col>
      <xdr:colOff>695325</xdr:colOff>
      <xdr:row>24</xdr:row>
      <xdr:rowOff>85725</xdr:rowOff>
    </xdr:to>
    <xdr:graphicFrame>
      <xdr:nvGraphicFramePr>
        <xdr:cNvPr id="3" name="Chart 2"/>
        <xdr:cNvGraphicFramePr/>
      </xdr:nvGraphicFramePr>
      <xdr:xfrm>
        <a:off x="5924550" y="1838325"/>
        <a:ext cx="48996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11</xdr:col>
      <xdr:colOff>638174</xdr:colOff>
      <xdr:row>40</xdr:row>
      <xdr:rowOff>76200</xdr:rowOff>
    </xdr:to>
    <xdr:graphicFrame>
      <xdr:nvGraphicFramePr>
        <xdr:cNvPr id="4" name="Chart 3"/>
        <xdr:cNvGraphicFramePr/>
      </xdr:nvGraphicFramePr>
      <xdr:xfrm>
        <a:off x="0" y="4754880"/>
        <a:ext cx="10766425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82.4117486111" refreshedBy="Student" recordCount="100">
  <cacheSource type="worksheet">
    <worksheetSource ref="A1:X101" sheet="11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/>
    <cacheField name="Price" numFmtId="0"/>
    <cacheField name="Availability" numFmtId="0"/>
    <cacheField name="Number of products sold" numFmtId="0"/>
    <cacheField name="Revenue generated" numFmtId="0"/>
    <cacheField name="Customer demographics" numFmtId="0">
      <sharedItems count="4">
        <s v="Non-binary"/>
        <s v="Female"/>
        <s v="Unknown"/>
        <s v="Male"/>
      </sharedItems>
    </cacheField>
    <cacheField name="Stock levels" numFmtId="0">
      <sharedItems containsSemiMixedTypes="0" containsString="0" containsNumber="1" containsInteger="1" minValue="0" maxValue="100" count="65">
        <n v="58"/>
        <n v="53"/>
        <n v="1"/>
        <n v="23"/>
        <n v="5"/>
        <n v="90"/>
        <n v="11"/>
        <n v="93"/>
        <n v="14"/>
        <n v="51"/>
        <n v="46"/>
        <n v="100"/>
        <n v="80"/>
        <n v="54"/>
        <n v="9"/>
        <n v="2"/>
        <n v="45"/>
        <n v="10"/>
        <n v="48"/>
        <n v="27"/>
        <n v="69"/>
        <n v="71"/>
        <n v="84"/>
        <n v="4"/>
        <n v="82"/>
        <n v="59"/>
        <n v="47"/>
        <n v="60"/>
        <n v="6"/>
        <n v="89"/>
        <n v="42"/>
        <n v="18"/>
        <n v="25"/>
        <n v="78"/>
        <n v="64"/>
        <n v="22"/>
        <n v="36"/>
        <n v="13"/>
        <n v="92"/>
        <n v="30"/>
        <n v="97"/>
        <n v="31"/>
        <n v="96"/>
        <n v="33"/>
        <n v="41"/>
        <n v="32"/>
        <n v="86"/>
        <n v="73"/>
        <n v="57"/>
        <n v="12"/>
        <n v="0"/>
        <n v="95"/>
        <n v="76"/>
        <n v="17"/>
        <n v="16"/>
        <n v="38"/>
        <n v="39"/>
        <n v="65"/>
        <n v="15"/>
        <n v="66"/>
        <n v="98"/>
        <n v="63"/>
        <n v="77"/>
        <n v="67"/>
        <n v="55"/>
      </sharedItems>
    </cacheField>
    <cacheField name="Lead times" numFmtId="0"/>
    <cacheField name="Order quantities" numFmtId="0"/>
    <cacheField name="Shipping times" numFmtId="0"/>
    <cacheField name="Shipping carriers" numFmtId="0"/>
    <cacheField name="Shipping costs" numFmtId="0"/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/>
    <cacheField name="Lead time" numFmtId="0"/>
    <cacheField name="Production volumes" numFmtId="0"/>
    <cacheField name="Manufacturing lead time" numFmtId="0"/>
    <cacheField name="Manufacturing costs" numFmtId="0"/>
    <cacheField name="Inspection results" numFmtId="0"/>
    <cacheField name="Defect rates" numFmtId="0"/>
    <cacheField name="Transportation modes" numFmtId="0"/>
    <cacheField name="Routes" numFmtId="0"/>
    <cacheField name="Costs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s v="SKU0"/>
    <n v="69.808005539999996"/>
    <n v="55"/>
    <n v="802"/>
    <n v="8661.9967919999999"/>
    <x v="0"/>
    <x v="0"/>
    <n v="7"/>
    <n v="96"/>
    <n v="4"/>
    <s v="Carrier B"/>
    <n v="2.9565721389999999"/>
    <x v="0"/>
    <s v="Mumbai"/>
    <n v="29"/>
    <n v="215"/>
    <n v="29"/>
    <n v="46.27987924"/>
    <s v="Pending"/>
    <n v="0.226410361"/>
    <s v="Road"/>
    <s v="Route B"/>
    <n v="187.75207549999999"/>
  </r>
  <r>
    <x v="1"/>
    <s v="SKU1"/>
    <n v="14.843523279999999"/>
    <n v="95"/>
    <n v="736"/>
    <n v="7460.9000649999998"/>
    <x v="1"/>
    <x v="1"/>
    <n v="30"/>
    <n v="37"/>
    <n v="2"/>
    <s v="Carrier A"/>
    <n v="9.7165747709999994"/>
    <x v="0"/>
    <s v="Mumbai"/>
    <n v="23"/>
    <n v="517"/>
    <n v="30"/>
    <n v="33.616768950000001"/>
    <s v="Pending"/>
    <n v="4.8540680260000002"/>
    <s v="Road"/>
    <s v="Route B"/>
    <n v="503.06557909999998"/>
  </r>
  <r>
    <x v="0"/>
    <s v="SKU2"/>
    <n v="11.31968329"/>
    <n v="34"/>
    <n v="8"/>
    <n v="9577.7496260000007"/>
    <x v="2"/>
    <x v="2"/>
    <n v="10"/>
    <n v="88"/>
    <n v="2"/>
    <s v="Carrier B"/>
    <n v="8.0544792619999992"/>
    <x v="1"/>
    <s v="Mumbai"/>
    <n v="12"/>
    <n v="971"/>
    <n v="27"/>
    <n v="30.688019350000001"/>
    <s v="Pending"/>
    <n v="4.5805926189999999"/>
    <s v="Air"/>
    <s v="Route C"/>
    <n v="141.9202818"/>
  </r>
  <r>
    <x v="1"/>
    <s v="SKU3"/>
    <n v="61.163343019999999"/>
    <n v="68"/>
    <n v="83"/>
    <n v="7766.8364259999998"/>
    <x v="0"/>
    <x v="3"/>
    <n v="13"/>
    <n v="59"/>
    <n v="6"/>
    <s v="Carrier C"/>
    <n v="1.729568564"/>
    <x v="2"/>
    <s v="Kolkata"/>
    <n v="24"/>
    <n v="937"/>
    <n v="18"/>
    <n v="35.624741399999998"/>
    <s v="Fail"/>
    <n v="4.7466486210000003"/>
    <s v="Rail"/>
    <s v="Route A"/>
    <n v="254.7761592"/>
  </r>
  <r>
    <x v="1"/>
    <s v="SKU4"/>
    <n v="4.8054960360000001"/>
    <n v="26"/>
    <n v="871"/>
    <n v="2686.5051520000002"/>
    <x v="0"/>
    <x v="4"/>
    <n v="3"/>
    <n v="56"/>
    <n v="8"/>
    <s v="Carrier A"/>
    <n v="3.8905479160000001"/>
    <x v="1"/>
    <s v="Delhi"/>
    <n v="5"/>
    <n v="414"/>
    <n v="3"/>
    <n v="92.065160599999999"/>
    <s v="Fail"/>
    <n v="3.1455795229999999"/>
    <s v="Air"/>
    <s v="Route A"/>
    <n v="923.44063170000004"/>
  </r>
  <r>
    <x v="0"/>
    <s v="SKU5"/>
    <n v="1.699976014"/>
    <n v="87"/>
    <n v="147"/>
    <n v="2828.3487460000001"/>
    <x v="0"/>
    <x v="5"/>
    <n v="27"/>
    <n v="66"/>
    <n v="3"/>
    <s v="Carrier B"/>
    <n v="4.4440988639999999"/>
    <x v="3"/>
    <s v="Bangalore"/>
    <n v="10"/>
    <n v="104"/>
    <n v="17"/>
    <n v="56.766475560000003"/>
    <s v="Fail"/>
    <n v="2.779193512"/>
    <s v="Road"/>
    <s v="Route A"/>
    <n v="235.4612367"/>
  </r>
  <r>
    <x v="1"/>
    <s v="SKU6"/>
    <n v="4.078332863"/>
    <n v="48"/>
    <n v="65"/>
    <n v="7823.4765600000001"/>
    <x v="3"/>
    <x v="6"/>
    <n v="15"/>
    <n v="58"/>
    <n v="8"/>
    <s v="Carrier C"/>
    <n v="3.8807633030000002"/>
    <x v="0"/>
    <s v="Kolkata"/>
    <n v="14"/>
    <n v="314"/>
    <n v="24"/>
    <n v="1.08506857"/>
    <s v="Pending"/>
    <n v="1.0009106189999999"/>
    <s v="Sea"/>
    <s v="Route A"/>
    <n v="134.36909689999999"/>
  </r>
  <r>
    <x v="2"/>
    <s v="SKU7"/>
    <n v="42.958384379999998"/>
    <n v="59"/>
    <n v="426"/>
    <n v="8496.1038129999997"/>
    <x v="1"/>
    <x v="7"/>
    <n v="17"/>
    <n v="11"/>
    <n v="1"/>
    <s v="Carrier B"/>
    <n v="2.3483387840000001"/>
    <x v="3"/>
    <s v="Bangalore"/>
    <n v="22"/>
    <n v="564"/>
    <n v="1"/>
    <n v="99.466108599999998"/>
    <s v="Fail"/>
    <n v="0.39817718699999999"/>
    <s v="Road"/>
    <s v="Route C"/>
    <n v="802.0563118"/>
  </r>
  <r>
    <x v="2"/>
    <s v="SKU8"/>
    <n v="68.717596749999998"/>
    <n v="78"/>
    <n v="150"/>
    <n v="7517.3632109999999"/>
    <x v="1"/>
    <x v="4"/>
    <n v="10"/>
    <n v="15"/>
    <n v="7"/>
    <s v="Carrier C"/>
    <n v="3.4047338570000001"/>
    <x v="3"/>
    <s v="Mumbai"/>
    <n v="13"/>
    <n v="769"/>
    <n v="8"/>
    <n v="11.42302714"/>
    <s v="Pending"/>
    <n v="2.7098626910000001"/>
    <s v="Sea"/>
    <s v="Route B"/>
    <n v="505.55713420000001"/>
  </r>
  <r>
    <x v="1"/>
    <s v="SKU9"/>
    <n v="64.015732940000007"/>
    <n v="35"/>
    <n v="980"/>
    <n v="4971.1459880000002"/>
    <x v="2"/>
    <x v="8"/>
    <n v="27"/>
    <n v="83"/>
    <n v="1"/>
    <s v="Carrier A"/>
    <n v="7.166645291"/>
    <x v="4"/>
    <s v="Chennai"/>
    <n v="29"/>
    <n v="963"/>
    <n v="23"/>
    <n v="47.957601629999999"/>
    <s v="Pending"/>
    <n v="3.8446144790000001"/>
    <s v="Rail"/>
    <s v="Route B"/>
    <n v="995.9294615"/>
  </r>
  <r>
    <x v="1"/>
    <s v="SKU10"/>
    <n v="15.70779568"/>
    <n v="11"/>
    <n v="996"/>
    <n v="2330.9658020000002"/>
    <x v="0"/>
    <x v="9"/>
    <n v="13"/>
    <n v="80"/>
    <n v="2"/>
    <s v="Carrier C"/>
    <n v="8.6732112109999999"/>
    <x v="2"/>
    <s v="Kolkata"/>
    <n v="18"/>
    <n v="830"/>
    <n v="5"/>
    <n v="96.527352789999995"/>
    <s v="Pass"/>
    <n v="1.7273139280000001"/>
    <s v="Road"/>
    <s v="Route B"/>
    <n v="806.10317769999995"/>
  </r>
  <r>
    <x v="1"/>
    <s v="SKU11"/>
    <n v="90.635459979999993"/>
    <n v="95"/>
    <n v="960"/>
    <n v="6099.9441159999997"/>
    <x v="1"/>
    <x v="10"/>
    <n v="23"/>
    <n v="60"/>
    <n v="1"/>
    <s v="Carrier A"/>
    <n v="4.5239431239999996"/>
    <x v="4"/>
    <s v="Kolkata"/>
    <n v="28"/>
    <n v="362"/>
    <n v="11"/>
    <n v="27.592363089999999"/>
    <s v="Pending"/>
    <n v="2.1169820999999998E-2"/>
    <s v="Air"/>
    <s v="Route A"/>
    <n v="126.72303340000001"/>
  </r>
  <r>
    <x v="0"/>
    <s v="SKU12"/>
    <n v="71.213389079999999"/>
    <n v="41"/>
    <n v="336"/>
    <n v="2873.741446"/>
    <x v="2"/>
    <x v="11"/>
    <n v="30"/>
    <n v="85"/>
    <n v="4"/>
    <s v="Carrier A"/>
    <n v="1.32527401"/>
    <x v="3"/>
    <s v="Kolkata"/>
    <n v="3"/>
    <n v="563"/>
    <n v="3"/>
    <n v="32.321286209999997"/>
    <s v="Fail"/>
    <n v="2.161253748"/>
    <s v="Road"/>
    <s v="Route B"/>
    <n v="402.96878909999998"/>
  </r>
  <r>
    <x v="1"/>
    <s v="SKU13"/>
    <n v="16.160393320000001"/>
    <n v="5"/>
    <n v="249"/>
    <n v="4052.7384160000001"/>
    <x v="3"/>
    <x v="12"/>
    <n v="8"/>
    <n v="48"/>
    <n v="9"/>
    <s v="Carrier A"/>
    <n v="9.5372830610000001"/>
    <x v="2"/>
    <s v="Bangalore"/>
    <n v="23"/>
    <n v="173"/>
    <n v="10"/>
    <n v="97.829050109999997"/>
    <s v="Pending"/>
    <n v="1.6310742300000001"/>
    <s v="Road"/>
    <s v="Route B"/>
    <n v="547.24100520000002"/>
  </r>
  <r>
    <x v="1"/>
    <s v="SKU14"/>
    <n v="99.171328639999999"/>
    <n v="26"/>
    <n v="562"/>
    <n v="8653.5709260000003"/>
    <x v="0"/>
    <x v="13"/>
    <n v="29"/>
    <n v="78"/>
    <n v="5"/>
    <s v="Carrier B"/>
    <n v="2.039770189"/>
    <x v="1"/>
    <s v="Kolkata"/>
    <n v="25"/>
    <n v="558"/>
    <n v="14"/>
    <n v="5.7914366299999998"/>
    <s v="Pending"/>
    <n v="0.100682852"/>
    <s v="Air"/>
    <s v="Route B"/>
    <n v="929.23528999999996"/>
  </r>
  <r>
    <x v="1"/>
    <s v="SKU15"/>
    <n v="36.989244929999998"/>
    <n v="94"/>
    <n v="469"/>
    <n v="5442.0867850000004"/>
    <x v="0"/>
    <x v="14"/>
    <n v="8"/>
    <n v="69"/>
    <n v="7"/>
    <s v="Carrier B"/>
    <n v="2.4220397230000001"/>
    <x v="1"/>
    <s v="Bangalore"/>
    <n v="14"/>
    <n v="580"/>
    <n v="7"/>
    <n v="97.121281749999994"/>
    <s v="Pass"/>
    <n v="2.2644057609999999"/>
    <s v="Sea"/>
    <s v="Route B"/>
    <n v="127.8618"/>
  </r>
  <r>
    <x v="1"/>
    <s v="SKU16"/>
    <n v="7.54717211"/>
    <n v="74"/>
    <n v="280"/>
    <n v="6453.7979679999999"/>
    <x v="1"/>
    <x v="15"/>
    <n v="5"/>
    <n v="78"/>
    <n v="1"/>
    <s v="Carrier B"/>
    <n v="4.1913245860000004"/>
    <x v="1"/>
    <s v="Bangalore"/>
    <n v="3"/>
    <n v="399"/>
    <n v="21"/>
    <n v="77.106342499999997"/>
    <s v="Pass"/>
    <n v="1.0125630889999999"/>
    <s v="Air"/>
    <s v="Route A"/>
    <n v="865.52577980000001"/>
  </r>
  <r>
    <x v="2"/>
    <s v="SKU17"/>
    <n v="81.46253437"/>
    <n v="82"/>
    <n v="126"/>
    <n v="2629.3964350000001"/>
    <x v="1"/>
    <x v="16"/>
    <n v="17"/>
    <n v="85"/>
    <n v="9"/>
    <s v="Carrier C"/>
    <n v="3.585418958"/>
    <x v="1"/>
    <s v="Chennai"/>
    <n v="7"/>
    <n v="453"/>
    <n v="16"/>
    <n v="47.67968037"/>
    <s v="Fail"/>
    <n v="0.102020755"/>
    <s v="Air"/>
    <s v="Route C"/>
    <n v="670.93439079999996"/>
  </r>
  <r>
    <x v="0"/>
    <s v="SKU18"/>
    <n v="36.443627769999999"/>
    <n v="23"/>
    <n v="620"/>
    <n v="9364.6735050000007"/>
    <x v="2"/>
    <x v="17"/>
    <n v="10"/>
    <n v="46"/>
    <n v="8"/>
    <s v="Carrier C"/>
    <n v="4.3392247140000002"/>
    <x v="4"/>
    <s v="Kolkata"/>
    <n v="18"/>
    <n v="374"/>
    <n v="17"/>
    <n v="27.107980850000001"/>
    <s v="Pending"/>
    <n v="2.231939111"/>
    <s v="Sea"/>
    <s v="Route A"/>
    <n v="593.48025870000004"/>
  </r>
  <r>
    <x v="1"/>
    <s v="SKU19"/>
    <n v="51.123870089999997"/>
    <n v="100"/>
    <n v="187"/>
    <n v="2553.4955850000001"/>
    <x v="2"/>
    <x v="18"/>
    <n v="11"/>
    <n v="94"/>
    <n v="3"/>
    <s v="Carrier A"/>
    <n v="4.7426358830000002"/>
    <x v="3"/>
    <s v="Chennai"/>
    <n v="20"/>
    <n v="694"/>
    <n v="16"/>
    <n v="82.373320590000006"/>
    <s v="Fail"/>
    <n v="3.6464508649999998"/>
    <s v="Road"/>
    <s v="Route C"/>
    <n v="477.30763109999998"/>
  </r>
  <r>
    <x v="1"/>
    <s v="SKU20"/>
    <n v="96.341072440000005"/>
    <n v="22"/>
    <n v="320"/>
    <n v="8128.0276970000004"/>
    <x v="2"/>
    <x v="19"/>
    <n v="12"/>
    <n v="68"/>
    <n v="6"/>
    <s v="Carrier A"/>
    <n v="8.8783346509999994"/>
    <x v="1"/>
    <s v="Chennai"/>
    <n v="29"/>
    <n v="309"/>
    <n v="6"/>
    <n v="65.686259609999993"/>
    <s v="Pass"/>
    <n v="4.2314165739999998"/>
    <s v="Air"/>
    <s v="Route B"/>
    <n v="493.87121530000002"/>
  </r>
  <r>
    <x v="2"/>
    <s v="SKU21"/>
    <n v="84.893868979999993"/>
    <n v="60"/>
    <n v="601"/>
    <n v="7087.0526959999997"/>
    <x v="2"/>
    <x v="20"/>
    <n v="25"/>
    <n v="7"/>
    <n v="6"/>
    <s v="Carrier B"/>
    <n v="6.0378837689999996"/>
    <x v="2"/>
    <s v="Chennai"/>
    <n v="19"/>
    <n v="791"/>
    <n v="4"/>
    <n v="61.735728950000002"/>
    <s v="Pending"/>
    <n v="1.8607568000000001E-2"/>
    <s v="Air"/>
    <s v="Route C"/>
    <n v="523.36091469999997"/>
  </r>
  <r>
    <x v="0"/>
    <s v="SKU22"/>
    <n v="27.67978089"/>
    <n v="55"/>
    <n v="884"/>
    <n v="2390.807867"/>
    <x v="2"/>
    <x v="21"/>
    <n v="1"/>
    <n v="63"/>
    <n v="10"/>
    <s v="Carrier A"/>
    <n v="9.567648921"/>
    <x v="3"/>
    <s v="Kolkata"/>
    <n v="22"/>
    <n v="780"/>
    <n v="28"/>
    <n v="50.120839609999997"/>
    <s v="Fail"/>
    <n v="2.5912754730000001"/>
    <s v="Rail"/>
    <s v="Route C"/>
    <n v="205.5719958"/>
  </r>
  <r>
    <x v="2"/>
    <s v="SKU23"/>
    <n v="4.3243411859999998"/>
    <n v="30"/>
    <n v="391"/>
    <n v="8858.3675710000007"/>
    <x v="2"/>
    <x v="22"/>
    <n v="5"/>
    <n v="29"/>
    <n v="7"/>
    <s v="Carrier A"/>
    <n v="2.9248576009999998"/>
    <x v="2"/>
    <s v="Kolkata"/>
    <n v="11"/>
    <n v="568"/>
    <n v="29"/>
    <n v="98.60995724"/>
    <s v="Pending"/>
    <n v="1.3422915630000001"/>
    <s v="Rail"/>
    <s v="Route A"/>
    <n v="196.32944610000001"/>
  </r>
  <r>
    <x v="0"/>
    <s v="SKU24"/>
    <n v="4.1563083589999996"/>
    <n v="32"/>
    <n v="209"/>
    <n v="9049.0778609999998"/>
    <x v="3"/>
    <x v="23"/>
    <n v="26"/>
    <n v="2"/>
    <n v="8"/>
    <s v="Carrier C"/>
    <n v="9.7412916890000005"/>
    <x v="4"/>
    <s v="Bangalore"/>
    <n v="28"/>
    <n v="447"/>
    <n v="3"/>
    <n v="40.382359700000002"/>
    <s v="Pending"/>
    <n v="3.6913102929999999"/>
    <s v="Air"/>
    <s v="Route A"/>
    <n v="758.72477260000005"/>
  </r>
  <r>
    <x v="0"/>
    <s v="SKU25"/>
    <n v="39.629343990000002"/>
    <n v="73"/>
    <n v="142"/>
    <n v="2174.7770540000001"/>
    <x v="3"/>
    <x v="24"/>
    <n v="11"/>
    <n v="52"/>
    <n v="3"/>
    <s v="Carrier C"/>
    <n v="2.2310736809999998"/>
    <x v="3"/>
    <s v="Kolkata"/>
    <n v="19"/>
    <n v="934"/>
    <n v="23"/>
    <n v="78.280383119999996"/>
    <s v="Pending"/>
    <n v="3.7972312170000002"/>
    <s v="Road"/>
    <s v="Route B"/>
    <n v="458.53594570000001"/>
  </r>
  <r>
    <x v="0"/>
    <s v="SKU26"/>
    <n v="97.446946620000006"/>
    <n v="9"/>
    <n v="353"/>
    <n v="3716.4933259999998"/>
    <x v="3"/>
    <x v="25"/>
    <n v="16"/>
    <n v="48"/>
    <n v="4"/>
    <s v="Carrier B"/>
    <n v="6.5075486209999998"/>
    <x v="4"/>
    <s v="Bangalore"/>
    <n v="26"/>
    <n v="171"/>
    <n v="4"/>
    <n v="15.972229759999999"/>
    <s v="Pass"/>
    <n v="2.1193197370000001"/>
    <s v="Rail"/>
    <s v="Route A"/>
    <n v="617.8669165"/>
  </r>
  <r>
    <x v="2"/>
    <s v="SKU27"/>
    <n v="92.557360810000006"/>
    <n v="42"/>
    <n v="352"/>
    <n v="2686.4572240000002"/>
    <x v="2"/>
    <x v="26"/>
    <n v="9"/>
    <n v="62"/>
    <n v="8"/>
    <s v="Carrier C"/>
    <n v="7.4067509530000004"/>
    <x v="2"/>
    <s v="Mumbai"/>
    <n v="25"/>
    <n v="291"/>
    <n v="4"/>
    <n v="10.528245070000001"/>
    <s v="Fail"/>
    <n v="2.8646678379999999"/>
    <s v="Sea"/>
    <s v="Route B"/>
    <n v="762.45918219999999"/>
  </r>
  <r>
    <x v="2"/>
    <s v="SKU28"/>
    <n v="2.3972747060000001"/>
    <n v="12"/>
    <n v="394"/>
    <n v="6117.3246150000004"/>
    <x v="1"/>
    <x v="18"/>
    <n v="15"/>
    <n v="24"/>
    <n v="4"/>
    <s v="Carrier B"/>
    <n v="9.8981405079999991"/>
    <x v="1"/>
    <s v="Mumbai"/>
    <n v="13"/>
    <n v="171"/>
    <n v="7"/>
    <n v="59.429381810000002"/>
    <s v="Fail"/>
    <n v="0.81575707900000005"/>
    <s v="Air"/>
    <s v="Route A"/>
    <n v="123.4370275"/>
  </r>
  <r>
    <x v="2"/>
    <s v="SKU29"/>
    <n v="63.44755919"/>
    <n v="3"/>
    <n v="253"/>
    <n v="8318.9031950000008"/>
    <x v="1"/>
    <x v="16"/>
    <n v="5"/>
    <n v="67"/>
    <n v="7"/>
    <s v="Carrier B"/>
    <n v="8.1009731449999993"/>
    <x v="1"/>
    <s v="Kolkata"/>
    <n v="16"/>
    <n v="329"/>
    <n v="7"/>
    <n v="39.292875590000001"/>
    <s v="Pass"/>
    <n v="3.8780989369999999"/>
    <s v="Road"/>
    <s v="Route B"/>
    <n v="764.93537590000005"/>
  </r>
  <r>
    <x v="0"/>
    <s v="SKU30"/>
    <n v="8.0228592110000001"/>
    <n v="10"/>
    <n v="327"/>
    <n v="2766.3423670000002"/>
    <x v="3"/>
    <x v="27"/>
    <n v="26"/>
    <n v="35"/>
    <n v="7"/>
    <s v="Carrier B"/>
    <n v="8.9545283149999992"/>
    <x v="3"/>
    <s v="Kolkata"/>
    <n v="27"/>
    <n v="806"/>
    <n v="30"/>
    <n v="51.634893400000003"/>
    <s v="Pending"/>
    <n v="0.96539470500000002"/>
    <s v="Road"/>
    <s v="Route C"/>
    <n v="880.08098819999998"/>
  </r>
  <r>
    <x v="1"/>
    <s v="SKU31"/>
    <n v="50.847393050000001"/>
    <n v="28"/>
    <n v="168"/>
    <n v="9655.1351030000005"/>
    <x v="3"/>
    <x v="28"/>
    <n v="17"/>
    <n v="44"/>
    <n v="4"/>
    <s v="Carrier B"/>
    <n v="2.6796609650000001"/>
    <x v="0"/>
    <s v="Chennai"/>
    <n v="24"/>
    <n v="461"/>
    <n v="8"/>
    <n v="60.251145659999999"/>
    <s v="Pending"/>
    <n v="2.989000007"/>
    <s v="Rail"/>
    <s v="Route C"/>
    <n v="609.37920659999997"/>
  </r>
  <r>
    <x v="1"/>
    <s v="SKU32"/>
    <n v="79.209936020000001"/>
    <n v="43"/>
    <n v="781"/>
    <n v="9571.5504870000004"/>
    <x v="2"/>
    <x v="29"/>
    <n v="13"/>
    <n v="64"/>
    <n v="4"/>
    <s v="Carrier C"/>
    <n v="6.5991049009999996"/>
    <x v="0"/>
    <s v="Kolkata"/>
    <n v="30"/>
    <n v="737"/>
    <n v="7"/>
    <n v="29.692467149999999"/>
    <s v="Pass"/>
    <n v="1.946036119"/>
    <s v="Road"/>
    <s v="Route A"/>
    <n v="761.17390950000004"/>
  </r>
  <r>
    <x v="2"/>
    <s v="SKU33"/>
    <n v="64.795434999999998"/>
    <n v="63"/>
    <n v="616"/>
    <n v="5149.9983499999998"/>
    <x v="0"/>
    <x v="23"/>
    <n v="17"/>
    <n v="95"/>
    <n v="9"/>
    <s v="Carrier C"/>
    <n v="4.858270503"/>
    <x v="2"/>
    <s v="Chennai"/>
    <n v="1"/>
    <n v="251"/>
    <n v="23"/>
    <n v="23.85342751"/>
    <s v="Fail"/>
    <n v="3.5410460119999998"/>
    <s v="Sea"/>
    <s v="Route A"/>
    <n v="371.25529549999999"/>
  </r>
  <r>
    <x v="1"/>
    <s v="SKU34"/>
    <n v="37.467592330000002"/>
    <n v="96"/>
    <n v="602"/>
    <n v="9061.7108960000005"/>
    <x v="2"/>
    <x v="2"/>
    <n v="26"/>
    <n v="21"/>
    <n v="7"/>
    <s v="Carrier A"/>
    <n v="1.019487571"/>
    <x v="1"/>
    <s v="Chennai"/>
    <n v="4"/>
    <n v="452"/>
    <n v="10"/>
    <n v="10.754272820000001"/>
    <s v="Pass"/>
    <n v="0.64660455900000002"/>
    <s v="Road"/>
    <s v="Route B"/>
    <n v="510.35800039999998"/>
  </r>
  <r>
    <x v="2"/>
    <s v="SKU35"/>
    <n v="84.957786819999995"/>
    <n v="11"/>
    <n v="449"/>
    <n v="6541.3293450000001"/>
    <x v="1"/>
    <x v="30"/>
    <n v="27"/>
    <n v="85"/>
    <n v="8"/>
    <s v="Carrier C"/>
    <n v="5.2881899900000002"/>
    <x v="1"/>
    <s v="Delhi"/>
    <n v="3"/>
    <n v="367"/>
    <n v="2"/>
    <n v="58.004787039999997"/>
    <s v="Pass"/>
    <n v="0.54115409800000003"/>
    <s v="Sea"/>
    <s v="Route C"/>
    <n v="553.42047119999995"/>
  </r>
  <r>
    <x v="1"/>
    <s v="SKU36"/>
    <n v="9.8130025790000008"/>
    <n v="34"/>
    <n v="963"/>
    <n v="7573.4024579999996"/>
    <x v="1"/>
    <x v="31"/>
    <n v="23"/>
    <n v="28"/>
    <n v="3"/>
    <s v="Carrier B"/>
    <n v="2.1079512669999998"/>
    <x v="4"/>
    <s v="Delhi"/>
    <n v="26"/>
    <n v="671"/>
    <n v="19"/>
    <n v="45.531364240000002"/>
    <s v="Fail"/>
    <n v="3.8055333789999999"/>
    <s v="Air"/>
    <s v="Route C"/>
    <n v="403.80897420000002"/>
  </r>
  <r>
    <x v="1"/>
    <s v="SKU37"/>
    <n v="23.39984475"/>
    <n v="5"/>
    <n v="963"/>
    <n v="2438.3399300000001"/>
    <x v="1"/>
    <x v="32"/>
    <n v="8"/>
    <n v="21"/>
    <n v="9"/>
    <s v="Carrier A"/>
    <n v="1.5326552739999999"/>
    <x v="0"/>
    <s v="Kolkata"/>
    <n v="24"/>
    <n v="867"/>
    <n v="15"/>
    <n v="34.343277469999997"/>
    <s v="Pending"/>
    <n v="2.6102880850000001"/>
    <s v="Sea"/>
    <s v="Route A"/>
    <n v="183.93296799999999"/>
  </r>
  <r>
    <x v="2"/>
    <s v="SKU38"/>
    <n v="52.075930679999999"/>
    <n v="75"/>
    <n v="705"/>
    <n v="9692.3180400000001"/>
    <x v="0"/>
    <x v="20"/>
    <n v="1"/>
    <n v="88"/>
    <n v="5"/>
    <s v="Carrier B"/>
    <n v="9.2359314369999996"/>
    <x v="2"/>
    <s v="Mumbai"/>
    <n v="10"/>
    <n v="841"/>
    <n v="12"/>
    <n v="5.9306936459999999"/>
    <s v="Pending"/>
    <n v="0.61332689900000004"/>
    <s v="Air"/>
    <s v="Route B"/>
    <n v="339.67286990000002"/>
  </r>
  <r>
    <x v="1"/>
    <s v="SKU39"/>
    <n v="19.12747727"/>
    <n v="26"/>
    <n v="176"/>
    <n v="1912.4656629999999"/>
    <x v="1"/>
    <x v="33"/>
    <n v="29"/>
    <n v="34"/>
    <n v="3"/>
    <s v="Carrier A"/>
    <n v="5.562503779"/>
    <x v="4"/>
    <s v="Kolkata"/>
    <n v="30"/>
    <n v="791"/>
    <n v="6"/>
    <n v="9.0058074290000008"/>
    <s v="Fail"/>
    <n v="1.451972204"/>
    <s v="Air"/>
    <s v="Route B"/>
    <n v="653.67299460000004"/>
  </r>
  <r>
    <x v="1"/>
    <s v="SKU40"/>
    <n v="80.541424169999999"/>
    <n v="97"/>
    <n v="933"/>
    <n v="5724.9593500000001"/>
    <x v="1"/>
    <x v="5"/>
    <n v="20"/>
    <n v="39"/>
    <n v="8"/>
    <s v="Carrier C"/>
    <n v="7.2295951399999998"/>
    <x v="1"/>
    <s v="Kolkata"/>
    <n v="18"/>
    <n v="793"/>
    <n v="1"/>
    <n v="88.179407100000006"/>
    <s v="Pending"/>
    <n v="4.2132694309999996"/>
    <s v="Road"/>
    <s v="Route A"/>
    <n v="529.80872399999998"/>
  </r>
  <r>
    <x v="1"/>
    <s v="SKU41"/>
    <n v="99.113291619999998"/>
    <n v="35"/>
    <n v="556"/>
    <n v="5521.2052590000003"/>
    <x v="1"/>
    <x v="34"/>
    <n v="19"/>
    <n v="38"/>
    <n v="8"/>
    <s v="Carrier B"/>
    <n v="5.7732637440000003"/>
    <x v="3"/>
    <s v="Chennai"/>
    <n v="18"/>
    <n v="892"/>
    <n v="7"/>
    <n v="95.332064549999998"/>
    <s v="Fail"/>
    <n v="4.5302262000000003E-2"/>
    <s v="Sea"/>
    <s v="Route A"/>
    <n v="275.5243711"/>
  </r>
  <r>
    <x v="1"/>
    <s v="SKU42"/>
    <n v="46.529167610000002"/>
    <n v="98"/>
    <n v="155"/>
    <n v="1839.609426"/>
    <x v="1"/>
    <x v="35"/>
    <n v="27"/>
    <n v="57"/>
    <n v="4"/>
    <s v="Carrier C"/>
    <n v="7.5262483270000002"/>
    <x v="2"/>
    <s v="Bangalore"/>
    <n v="26"/>
    <n v="179"/>
    <n v="7"/>
    <n v="96.422820639999998"/>
    <s v="Fail"/>
    <n v="4.9392552890000001"/>
    <s v="Road"/>
    <s v="Route A"/>
    <n v="635.65712050000002"/>
  </r>
  <r>
    <x v="0"/>
    <s v="SKU43"/>
    <n v="11.743271780000001"/>
    <n v="6"/>
    <n v="598"/>
    <n v="5737.4255990000001"/>
    <x v="2"/>
    <x v="36"/>
    <n v="29"/>
    <n v="85"/>
    <n v="9"/>
    <s v="Carrier B"/>
    <n v="3.6940212680000002"/>
    <x v="2"/>
    <s v="Mumbai"/>
    <n v="1"/>
    <n v="206"/>
    <n v="23"/>
    <n v="26.277365960000001"/>
    <s v="Pending"/>
    <n v="0.37230476800000001"/>
    <s v="Air"/>
    <s v="Route A"/>
    <n v="716.04411979999998"/>
  </r>
  <r>
    <x v="2"/>
    <s v="SKU44"/>
    <n v="51.355790910000003"/>
    <n v="34"/>
    <n v="919"/>
    <n v="7152.2860490000003"/>
    <x v="1"/>
    <x v="37"/>
    <n v="19"/>
    <n v="72"/>
    <n v="6"/>
    <s v="Carrier C"/>
    <n v="7.5774496569999998"/>
    <x v="4"/>
    <s v="Delhi"/>
    <n v="7"/>
    <n v="834"/>
    <n v="18"/>
    <n v="22.554106619999999"/>
    <s v="Fail"/>
    <n v="2.96262632"/>
    <s v="Rail"/>
    <s v="Route A"/>
    <n v="610.4532696"/>
  </r>
  <r>
    <x v="0"/>
    <s v="SKU45"/>
    <n v="33.784138030000001"/>
    <n v="1"/>
    <n v="24"/>
    <n v="5267.9568079999999"/>
    <x v="3"/>
    <x v="7"/>
    <n v="7"/>
    <n v="52"/>
    <n v="6"/>
    <s v="Carrier B"/>
    <n v="5.2151550090000001"/>
    <x v="4"/>
    <s v="Chennai"/>
    <n v="25"/>
    <n v="794"/>
    <n v="25"/>
    <n v="66.312544439999996"/>
    <s v="Pass"/>
    <n v="3.2196046119999999"/>
    <s v="Rail"/>
    <s v="Route A"/>
    <n v="495.30569700000001"/>
  </r>
  <r>
    <x v="0"/>
    <s v="SKU46"/>
    <n v="27.082207199999999"/>
    <n v="75"/>
    <n v="859"/>
    <n v="2556.7673610000002"/>
    <x v="0"/>
    <x v="38"/>
    <n v="29"/>
    <n v="6"/>
    <n v="8"/>
    <s v="Carrier B"/>
    <n v="4.0709558369999996"/>
    <x v="0"/>
    <s v="Chennai"/>
    <n v="18"/>
    <n v="870"/>
    <n v="23"/>
    <n v="77.322353210000003"/>
    <s v="Pending"/>
    <n v="3.6486105929999999"/>
    <s v="Road"/>
    <s v="Route B"/>
    <n v="380.43593709999999"/>
  </r>
  <r>
    <x v="1"/>
    <s v="SKU47"/>
    <n v="95.712135880000005"/>
    <n v="93"/>
    <n v="910"/>
    <n v="7089.4742500000002"/>
    <x v="3"/>
    <x v="23"/>
    <n v="15"/>
    <n v="51"/>
    <n v="9"/>
    <s v="Carrier B"/>
    <n v="8.9787507560000002"/>
    <x v="1"/>
    <s v="Kolkata"/>
    <n v="10"/>
    <n v="964"/>
    <n v="20"/>
    <n v="19.712992910000001"/>
    <s v="Pending"/>
    <n v="0.38057358699999999"/>
    <s v="Rail"/>
    <s v="Route A"/>
    <n v="581.60235509999995"/>
  </r>
  <r>
    <x v="0"/>
    <s v="SKU48"/>
    <n v="76.035544430000002"/>
    <n v="28"/>
    <n v="29"/>
    <n v="7397.0710049999998"/>
    <x v="0"/>
    <x v="39"/>
    <n v="16"/>
    <n v="9"/>
    <n v="3"/>
    <s v="Carrier C"/>
    <n v="7.0958331570000004"/>
    <x v="4"/>
    <s v="Mumbai"/>
    <n v="9"/>
    <n v="109"/>
    <n v="18"/>
    <n v="23.12636358"/>
    <s v="Fail"/>
    <n v="1.698112541"/>
    <s v="Rail"/>
    <s v="Route B"/>
    <n v="768.65191400000003"/>
  </r>
  <r>
    <x v="2"/>
    <s v="SKU49"/>
    <n v="78.897913209999999"/>
    <n v="19"/>
    <n v="99"/>
    <n v="8001.6132070000003"/>
    <x v="2"/>
    <x v="40"/>
    <n v="24"/>
    <n v="9"/>
    <n v="6"/>
    <s v="Carrier C"/>
    <n v="2.5056210330000002"/>
    <x v="2"/>
    <s v="Delhi"/>
    <n v="28"/>
    <n v="177"/>
    <n v="28"/>
    <n v="14.14781544"/>
    <s v="Pass"/>
    <n v="2.8258139849999999"/>
    <s v="Rail"/>
    <s v="Route A"/>
    <n v="336.89016850000002"/>
  </r>
  <r>
    <x v="2"/>
    <s v="SKU50"/>
    <n v="14.20348426"/>
    <n v="91"/>
    <n v="633"/>
    <n v="5910.8853900000004"/>
    <x v="1"/>
    <x v="41"/>
    <n v="23"/>
    <n v="82"/>
    <n v="10"/>
    <s v="Carrier A"/>
    <n v="6.2478609150000004"/>
    <x v="4"/>
    <s v="Delhi"/>
    <n v="20"/>
    <n v="306"/>
    <n v="21"/>
    <n v="45.178757920000002"/>
    <s v="Fail"/>
    <n v="4.7548008050000004"/>
    <s v="Rail"/>
    <s v="Route B"/>
    <n v="496.24865030000001"/>
  </r>
  <r>
    <x v="0"/>
    <s v="SKU51"/>
    <n v="26.700760970000001"/>
    <n v="61"/>
    <n v="154"/>
    <n v="9866.4654580000006"/>
    <x v="3"/>
    <x v="11"/>
    <n v="4"/>
    <n v="52"/>
    <n v="1"/>
    <s v="Carrier A"/>
    <n v="4.7830005580000003"/>
    <x v="2"/>
    <s v="Bangalore"/>
    <n v="18"/>
    <n v="673"/>
    <n v="28"/>
    <n v="14.190328340000001"/>
    <s v="Pending"/>
    <n v="1.772951172"/>
    <s v="Road"/>
    <s v="Route A"/>
    <n v="694.98231759999999"/>
  </r>
  <r>
    <x v="1"/>
    <s v="SKU52"/>
    <n v="98.03182966"/>
    <n v="1"/>
    <n v="820"/>
    <n v="9435.7626089999994"/>
    <x v="3"/>
    <x v="34"/>
    <n v="11"/>
    <n v="11"/>
    <n v="1"/>
    <s v="Carrier B"/>
    <n v="8.6310521799999993"/>
    <x v="1"/>
    <s v="Mumbai"/>
    <n v="10"/>
    <n v="727"/>
    <n v="27"/>
    <n v="9.1668491490000008"/>
    <s v="Pending"/>
    <n v="2.1224716190000001"/>
    <s v="Air"/>
    <s v="Route C"/>
    <n v="602.89849879999997"/>
  </r>
  <r>
    <x v="1"/>
    <s v="SKU53"/>
    <n v="30.341470709999999"/>
    <n v="93"/>
    <n v="242"/>
    <n v="8232.3348289999994"/>
    <x v="3"/>
    <x v="42"/>
    <n v="25"/>
    <n v="54"/>
    <n v="3"/>
    <s v="Carrier B"/>
    <n v="1.0134865660000001"/>
    <x v="1"/>
    <s v="Delhi"/>
    <n v="1"/>
    <n v="631"/>
    <n v="17"/>
    <n v="83.344058989999994"/>
    <s v="Pending"/>
    <n v="1.4103475759999999"/>
    <s v="Air"/>
    <s v="Route B"/>
    <n v="750.73784069999999"/>
  </r>
  <r>
    <x v="0"/>
    <s v="SKU54"/>
    <n v="31.146243160000001"/>
    <n v="11"/>
    <n v="622"/>
    <n v="6088.0214800000003"/>
    <x v="0"/>
    <x v="43"/>
    <n v="22"/>
    <n v="61"/>
    <n v="3"/>
    <s v="Carrier B"/>
    <n v="4.3051034709999998"/>
    <x v="1"/>
    <s v="Kolkata"/>
    <n v="26"/>
    <n v="497"/>
    <n v="29"/>
    <n v="30.186023380000002"/>
    <s v="Pass"/>
    <n v="2.478771976"/>
    <s v="Road"/>
    <s v="Route B"/>
    <n v="814.06999659999997"/>
  </r>
  <r>
    <x v="0"/>
    <s v="SKU55"/>
    <n v="79.855058339999999"/>
    <n v="16"/>
    <n v="701"/>
    <n v="2925.67517"/>
    <x v="3"/>
    <x v="40"/>
    <n v="11"/>
    <n v="11"/>
    <n v="5"/>
    <s v="Carrier A"/>
    <n v="5.0143649549999996"/>
    <x v="4"/>
    <s v="Delhi"/>
    <n v="27"/>
    <n v="918"/>
    <n v="5"/>
    <n v="30.32354526"/>
    <s v="Fail"/>
    <n v="4.5489196590000001"/>
    <s v="Sea"/>
    <s v="Route B"/>
    <n v="323.01292799999999"/>
  </r>
  <r>
    <x v="1"/>
    <s v="SKU56"/>
    <n v="20.986386039999999"/>
    <n v="90"/>
    <n v="93"/>
    <n v="4767.0204839999997"/>
    <x v="0"/>
    <x v="32"/>
    <n v="23"/>
    <n v="83"/>
    <n v="5"/>
    <s v="Carrier C"/>
    <n v="1.774429714"/>
    <x v="1"/>
    <s v="Mumbai"/>
    <n v="24"/>
    <n v="826"/>
    <n v="28"/>
    <n v="12.83628457"/>
    <s v="Pass"/>
    <n v="1.173755495"/>
    <s v="Air"/>
    <s v="Route B"/>
    <n v="832.21080870000003"/>
  </r>
  <r>
    <x v="0"/>
    <s v="SKU57"/>
    <n v="49.26320535"/>
    <n v="65"/>
    <n v="227"/>
    <n v="1605.8669"/>
    <x v="2"/>
    <x v="4"/>
    <n v="18"/>
    <n v="51"/>
    <n v="1"/>
    <s v="Carrier B"/>
    <n v="9.1605585349999998"/>
    <x v="4"/>
    <s v="Delhi"/>
    <n v="21"/>
    <n v="588"/>
    <n v="25"/>
    <n v="67.779622989999993"/>
    <s v="Pending"/>
    <n v="2.5111748299999999"/>
    <s v="Rail"/>
    <s v="Route A"/>
    <n v="482.19123860000002"/>
  </r>
  <r>
    <x v="1"/>
    <s v="SKU58"/>
    <n v="59.841561380000002"/>
    <n v="81"/>
    <n v="896"/>
    <n v="2021.1498099999999"/>
    <x v="0"/>
    <x v="17"/>
    <n v="5"/>
    <n v="44"/>
    <n v="7"/>
    <s v="Carrier A"/>
    <n v="4.9384385650000002"/>
    <x v="0"/>
    <s v="Delhi"/>
    <n v="18"/>
    <n v="396"/>
    <n v="7"/>
    <n v="65.047415090000001"/>
    <s v="Fail"/>
    <n v="1.7303747199999999"/>
    <s v="Road"/>
    <s v="Route B"/>
    <n v="110.3643352"/>
  </r>
  <r>
    <x v="2"/>
    <s v="SKU59"/>
    <n v="63.828398350000001"/>
    <n v="30"/>
    <n v="484"/>
    <n v="1061.6185230000001"/>
    <x v="0"/>
    <x v="11"/>
    <n v="16"/>
    <n v="26"/>
    <n v="7"/>
    <s v="Carrier B"/>
    <n v="7.2937225970000004"/>
    <x v="1"/>
    <s v="Kolkata"/>
    <n v="11"/>
    <n v="176"/>
    <n v="4"/>
    <n v="1.900762244"/>
    <s v="Fail"/>
    <n v="0.447194015"/>
    <s v="Air"/>
    <s v="Route A"/>
    <n v="312.57427360000003"/>
  </r>
  <r>
    <x v="1"/>
    <s v="SKU60"/>
    <n v="17.02802792"/>
    <n v="16"/>
    <n v="380"/>
    <n v="8864.0843499999992"/>
    <x v="1"/>
    <x v="44"/>
    <n v="27"/>
    <n v="72"/>
    <n v="8"/>
    <s v="Carrier C"/>
    <n v="4.3813681579999999"/>
    <x v="3"/>
    <s v="Mumbai"/>
    <n v="29"/>
    <n v="929"/>
    <n v="24"/>
    <n v="87.213057820000003"/>
    <s v="Fail"/>
    <n v="2.8530906169999999"/>
    <s v="Rail"/>
    <s v="Route A"/>
    <n v="430.16909700000002"/>
  </r>
  <r>
    <x v="0"/>
    <s v="SKU61"/>
    <n v="52.028749900000001"/>
    <n v="23"/>
    <n v="117"/>
    <n v="6885.5893509999996"/>
    <x v="2"/>
    <x v="45"/>
    <n v="23"/>
    <n v="36"/>
    <n v="7"/>
    <s v="Carrier C"/>
    <n v="9.0303404230000002"/>
    <x v="3"/>
    <s v="Kolkata"/>
    <n v="14"/>
    <n v="480"/>
    <n v="12"/>
    <n v="78.702393970000003"/>
    <s v="Fail"/>
    <n v="4.3674705380000001"/>
    <s v="Air"/>
    <s v="Route A"/>
    <n v="164.3665282"/>
  </r>
  <r>
    <x v="2"/>
    <s v="SKU62"/>
    <n v="72.796353960000005"/>
    <n v="89"/>
    <n v="270"/>
    <n v="3899.746834"/>
    <x v="2"/>
    <x v="46"/>
    <n v="2"/>
    <n v="40"/>
    <n v="7"/>
    <s v="Carrier C"/>
    <n v="7.291701389"/>
    <x v="4"/>
    <s v="Mumbai"/>
    <n v="13"/>
    <n v="751"/>
    <n v="14"/>
    <n v="21.048642730000001"/>
    <s v="Pass"/>
    <n v="1.8740014039999999"/>
    <s v="Sea"/>
    <s v="Route C"/>
    <n v="320.84651580000002"/>
  </r>
  <r>
    <x v="1"/>
    <s v="SKU63"/>
    <n v="13.01737679"/>
    <n v="55"/>
    <n v="246"/>
    <n v="4256.9491410000001"/>
    <x v="0"/>
    <x v="13"/>
    <n v="19"/>
    <n v="10"/>
    <n v="4"/>
    <s v="Carrier A"/>
    <n v="2.4579335279999999"/>
    <x v="0"/>
    <s v="Bangalore"/>
    <n v="18"/>
    <n v="736"/>
    <n v="10"/>
    <n v="20.075003980000002"/>
    <s v="Pending"/>
    <n v="3.6328432899999998"/>
    <s v="Sea"/>
    <s v="Route A"/>
    <n v="687.28617789999998"/>
  </r>
  <r>
    <x v="1"/>
    <s v="SKU64"/>
    <n v="89.634095610000003"/>
    <n v="11"/>
    <n v="134"/>
    <n v="8458.7308780000003"/>
    <x v="1"/>
    <x v="47"/>
    <n v="27"/>
    <n v="75"/>
    <n v="6"/>
    <s v="Carrier C"/>
    <n v="4.5853534680000001"/>
    <x v="1"/>
    <s v="Delhi"/>
    <n v="17"/>
    <n v="328"/>
    <n v="6"/>
    <n v="8.6930424259999999"/>
    <s v="Fail"/>
    <n v="0.15948631499999999"/>
    <s v="Air"/>
    <s v="Route C"/>
    <n v="771.22508470000002"/>
  </r>
  <r>
    <x v="1"/>
    <s v="SKU65"/>
    <n v="33.69771721"/>
    <n v="72"/>
    <n v="457"/>
    <n v="8354.5796859999991"/>
    <x v="3"/>
    <x v="48"/>
    <n v="24"/>
    <n v="54"/>
    <n v="8"/>
    <s v="Carrier C"/>
    <n v="6.5805413479999997"/>
    <x v="2"/>
    <s v="Kolkata"/>
    <n v="16"/>
    <n v="358"/>
    <n v="21"/>
    <n v="1.5972227429999999"/>
    <s v="Fail"/>
    <n v="4.9110959550000004"/>
    <s v="Rail"/>
    <s v="Route C"/>
    <n v="555.85910369999999"/>
  </r>
  <r>
    <x v="1"/>
    <s v="SKU66"/>
    <n v="26.03486977"/>
    <n v="52"/>
    <n v="704"/>
    <n v="8367.7216179999996"/>
    <x v="1"/>
    <x v="37"/>
    <n v="17"/>
    <n v="19"/>
    <n v="8"/>
    <s v="Carrier A"/>
    <n v="2.216142729"/>
    <x v="2"/>
    <s v="Kolkata"/>
    <n v="24"/>
    <n v="867"/>
    <n v="28"/>
    <n v="42.084436740000001"/>
    <s v="Fail"/>
    <n v="3.4480632880000002"/>
    <s v="Road"/>
    <s v="Route A"/>
    <n v="393.84334860000001"/>
  </r>
  <r>
    <x v="1"/>
    <s v="SKU67"/>
    <n v="87.755432350000007"/>
    <n v="16"/>
    <n v="513"/>
    <n v="9473.7980329999991"/>
    <x v="2"/>
    <x v="49"/>
    <n v="9"/>
    <n v="71"/>
    <n v="9"/>
    <s v="Carrier C"/>
    <n v="9.1478115449999997"/>
    <x v="1"/>
    <s v="Mumbai"/>
    <n v="10"/>
    <n v="198"/>
    <n v="11"/>
    <n v="7.057876147"/>
    <s v="Pass"/>
    <n v="0.13195544400000001"/>
    <s v="Sea"/>
    <s v="Route C"/>
    <n v="169.27180139999999"/>
  </r>
  <r>
    <x v="0"/>
    <s v="SKU68"/>
    <n v="37.931812379999997"/>
    <n v="29"/>
    <n v="163"/>
    <n v="3550.218433"/>
    <x v="0"/>
    <x v="50"/>
    <n v="8"/>
    <n v="58"/>
    <n v="8"/>
    <s v="Carrier B"/>
    <n v="1.194251865"/>
    <x v="4"/>
    <s v="Bangalore"/>
    <n v="2"/>
    <n v="375"/>
    <n v="18"/>
    <n v="97.11358156"/>
    <s v="Fail"/>
    <n v="1.9834678720000001"/>
    <s v="Rail"/>
    <s v="Route A"/>
    <n v="299.70630310000001"/>
  </r>
  <r>
    <x v="1"/>
    <s v="SKU69"/>
    <n v="54.865528519999998"/>
    <n v="62"/>
    <n v="511"/>
    <n v="1752.381087"/>
    <x v="0"/>
    <x v="51"/>
    <n v="1"/>
    <n v="27"/>
    <n v="3"/>
    <s v="Carrier B"/>
    <n v="9.7052867900000006"/>
    <x v="3"/>
    <s v="Kolkata"/>
    <n v="9"/>
    <n v="862"/>
    <n v="7"/>
    <n v="77.62776581"/>
    <s v="Pending"/>
    <n v="1.3623879889999999"/>
    <s v="Air"/>
    <s v="Route A"/>
    <n v="207.66320619999999"/>
  </r>
  <r>
    <x v="0"/>
    <s v="SKU70"/>
    <n v="47.914541819999997"/>
    <n v="90"/>
    <n v="32"/>
    <n v="7014.8879870000001"/>
    <x v="1"/>
    <x v="17"/>
    <n v="12"/>
    <n v="22"/>
    <n v="4"/>
    <s v="Carrier B"/>
    <n v="6.3157177549999997"/>
    <x v="1"/>
    <s v="Bangalore"/>
    <n v="22"/>
    <n v="775"/>
    <n v="16"/>
    <n v="11.44078182"/>
    <s v="Pass"/>
    <n v="1.8305755990000001"/>
    <s v="Road"/>
    <s v="Route C"/>
    <n v="183.27289870000001"/>
  </r>
  <r>
    <x v="2"/>
    <s v="SKU71"/>
    <n v="6.3815331630000003"/>
    <n v="14"/>
    <n v="637"/>
    <n v="8180.3370850000001"/>
    <x v="1"/>
    <x v="52"/>
    <n v="2"/>
    <n v="26"/>
    <n v="6"/>
    <s v="Carrier A"/>
    <n v="9.2281903169999993"/>
    <x v="4"/>
    <s v="Bangalore"/>
    <n v="2"/>
    <n v="258"/>
    <n v="10"/>
    <n v="30.661677480000002"/>
    <s v="Pending"/>
    <n v="2.078750608"/>
    <s v="Road"/>
    <s v="Route A"/>
    <n v="405.16706790000001"/>
  </r>
  <r>
    <x v="2"/>
    <s v="SKU72"/>
    <n v="90.204427519999996"/>
    <n v="88"/>
    <n v="478"/>
    <n v="2633.1219809999998"/>
    <x v="0"/>
    <x v="48"/>
    <n v="29"/>
    <n v="77"/>
    <n v="9"/>
    <s v="Carrier A"/>
    <n v="6.5996141599999998"/>
    <x v="1"/>
    <s v="Bangalore"/>
    <n v="21"/>
    <n v="152"/>
    <n v="11"/>
    <n v="55.760492900000003"/>
    <s v="Pending"/>
    <n v="3.2133296069999999"/>
    <s v="Rail"/>
    <s v="Route B"/>
    <n v="677.94456979999995"/>
  </r>
  <r>
    <x v="2"/>
    <s v="SKU73"/>
    <n v="83.851017679999998"/>
    <n v="41"/>
    <n v="375"/>
    <n v="7910.8869160000004"/>
    <x v="3"/>
    <x v="53"/>
    <n v="25"/>
    <n v="66"/>
    <n v="5"/>
    <s v="Carrier B"/>
    <n v="1.512936837"/>
    <x v="3"/>
    <s v="Chennai"/>
    <n v="13"/>
    <n v="444"/>
    <n v="4"/>
    <n v="46.870238800000003"/>
    <s v="Fail"/>
    <n v="4.6205460650000001"/>
    <s v="Road"/>
    <s v="Route A"/>
    <n v="866.47280009999997"/>
  </r>
  <r>
    <x v="0"/>
    <s v="SKU74"/>
    <n v="3.1700114140000002"/>
    <n v="64"/>
    <n v="904"/>
    <n v="5709.9452959999999"/>
    <x v="1"/>
    <x v="44"/>
    <n v="6"/>
    <n v="1"/>
    <n v="5"/>
    <s v="Carrier A"/>
    <n v="5.2376546499999996"/>
    <x v="3"/>
    <s v="Delhi"/>
    <n v="1"/>
    <n v="919"/>
    <n v="9"/>
    <n v="80.580852160000006"/>
    <s v="Fail"/>
    <n v="0.39661272400000003"/>
    <s v="Rail"/>
    <s v="Route A"/>
    <n v="341.55265680000002"/>
  </r>
  <r>
    <x v="1"/>
    <s v="SKU75"/>
    <n v="92.996884230000006"/>
    <n v="29"/>
    <n v="106"/>
    <n v="1889.07359"/>
    <x v="0"/>
    <x v="54"/>
    <n v="20"/>
    <n v="56"/>
    <n v="10"/>
    <s v="Carrier C"/>
    <n v="2.4738977609999999"/>
    <x v="1"/>
    <s v="Chennai"/>
    <n v="25"/>
    <n v="759"/>
    <n v="11"/>
    <n v="48.064782639999997"/>
    <s v="Pass"/>
    <n v="2.0300690889999999"/>
    <s v="Air"/>
    <s v="Route C"/>
    <n v="873.12964799999997"/>
  </r>
  <r>
    <x v="0"/>
    <s v="SKU76"/>
    <n v="69.108799550000001"/>
    <n v="23"/>
    <n v="241"/>
    <n v="5328.3759840000002"/>
    <x v="3"/>
    <x v="55"/>
    <n v="1"/>
    <n v="22"/>
    <n v="10"/>
    <s v="Carrier A"/>
    <n v="7.0545383370000003"/>
    <x v="4"/>
    <s v="Bangalore"/>
    <n v="25"/>
    <n v="985"/>
    <n v="24"/>
    <n v="64.323597800000002"/>
    <s v="Pending"/>
    <n v="2.1800374520000001"/>
    <s v="Rail"/>
    <s v="Route A"/>
    <n v="997.41345009999998"/>
  </r>
  <r>
    <x v="0"/>
    <s v="SKU77"/>
    <n v="57.449742960000002"/>
    <n v="14"/>
    <n v="359"/>
    <n v="2483.760178"/>
    <x v="2"/>
    <x v="42"/>
    <n v="28"/>
    <n v="57"/>
    <n v="4"/>
    <s v="Carrier B"/>
    <n v="6.7809466260000004"/>
    <x v="1"/>
    <s v="Kolkata"/>
    <n v="26"/>
    <n v="334"/>
    <n v="5"/>
    <n v="42.952444749999998"/>
    <s v="Pass"/>
    <n v="3.0551418180000001"/>
    <s v="Road"/>
    <s v="Route B"/>
    <n v="852.5680989"/>
  </r>
  <r>
    <x v="0"/>
    <s v="SKU78"/>
    <n v="6.3068831760000004"/>
    <n v="50"/>
    <n v="946"/>
    <n v="1292.4584179999999"/>
    <x v="2"/>
    <x v="4"/>
    <n v="4"/>
    <n v="51"/>
    <n v="5"/>
    <s v="Carrier B"/>
    <n v="8.4670497709999992"/>
    <x v="2"/>
    <s v="Mumbai"/>
    <n v="25"/>
    <n v="858"/>
    <n v="21"/>
    <n v="71.126514720000003"/>
    <s v="Pending"/>
    <n v="4.0968813319999997"/>
    <s v="Sea"/>
    <s v="Route C"/>
    <n v="323.59220340000002"/>
  </r>
  <r>
    <x v="0"/>
    <s v="SKU79"/>
    <n v="57.057031219999999"/>
    <n v="56"/>
    <n v="198"/>
    <n v="7888.7232679999997"/>
    <x v="0"/>
    <x v="41"/>
    <n v="25"/>
    <n v="20"/>
    <n v="1"/>
    <s v="Carrier B"/>
    <n v="6.4963253639999996"/>
    <x v="0"/>
    <s v="Bangalore"/>
    <n v="5"/>
    <n v="228"/>
    <n v="12"/>
    <n v="57.870902919999999"/>
    <s v="Pending"/>
    <n v="0.16587162699999999"/>
    <s v="Air"/>
    <s v="Route C"/>
    <n v="351.50421929999999"/>
  </r>
  <r>
    <x v="1"/>
    <s v="SKU80"/>
    <n v="91.128318350000001"/>
    <n v="75"/>
    <n v="872"/>
    <n v="8651.6726830000007"/>
    <x v="2"/>
    <x v="56"/>
    <n v="14"/>
    <n v="41"/>
    <n v="2"/>
    <s v="Carrier C"/>
    <n v="2.8331846789999999"/>
    <x v="0"/>
    <s v="Chennai"/>
    <n v="8"/>
    <n v="202"/>
    <n v="5"/>
    <n v="76.961228019999993"/>
    <s v="Fail"/>
    <n v="2.849662199"/>
    <s v="Sea"/>
    <s v="Route B"/>
    <n v="787.77985049999995"/>
  </r>
  <r>
    <x v="0"/>
    <s v="SKU81"/>
    <n v="72.819206930000007"/>
    <n v="9"/>
    <n v="774"/>
    <n v="4384.4134000000004"/>
    <x v="2"/>
    <x v="18"/>
    <n v="6"/>
    <n v="8"/>
    <n v="5"/>
    <s v="Carrier B"/>
    <n v="4.0662775020000002"/>
    <x v="0"/>
    <s v="Delhi"/>
    <n v="28"/>
    <n v="698"/>
    <n v="1"/>
    <n v="19.789592939999999"/>
    <s v="Pending"/>
    <n v="2.5475471220000001"/>
    <s v="Rail"/>
    <s v="Route B"/>
    <n v="276.7783359"/>
  </r>
  <r>
    <x v="1"/>
    <s v="SKU82"/>
    <n v="17.03493074"/>
    <n v="13"/>
    <n v="336"/>
    <n v="2943.3818679999999"/>
    <x v="2"/>
    <x v="30"/>
    <n v="19"/>
    <n v="72"/>
    <n v="1"/>
    <s v="Carrier A"/>
    <n v="4.7081818740000001"/>
    <x v="4"/>
    <s v="Mumbai"/>
    <n v="6"/>
    <n v="955"/>
    <n v="26"/>
    <n v="4.4652784350000001"/>
    <s v="Pending"/>
    <n v="4.1378770490000001"/>
    <s v="Road"/>
    <s v="Route C"/>
    <n v="589.97855560000005"/>
  </r>
  <r>
    <x v="0"/>
    <s v="SKU83"/>
    <n v="68.911246210000002"/>
    <n v="82"/>
    <n v="663"/>
    <n v="2411.7546320000001"/>
    <x v="2"/>
    <x v="57"/>
    <n v="24"/>
    <n v="7"/>
    <n v="8"/>
    <s v="Carrier B"/>
    <n v="4.9498395779999997"/>
    <x v="1"/>
    <s v="Bangalore"/>
    <n v="20"/>
    <n v="443"/>
    <n v="5"/>
    <n v="97.730593799999994"/>
    <s v="Fail"/>
    <n v="0.77300613399999996"/>
    <s v="Road"/>
    <s v="Route A"/>
    <n v="682.9710182"/>
  </r>
  <r>
    <x v="0"/>
    <s v="SKU84"/>
    <n v="89.104367289999999"/>
    <n v="99"/>
    <n v="618"/>
    <n v="2048.2901000000002"/>
    <x v="2"/>
    <x v="47"/>
    <n v="26"/>
    <n v="80"/>
    <n v="10"/>
    <s v="Carrier A"/>
    <n v="8.3816156250000002"/>
    <x v="2"/>
    <s v="Chennai"/>
    <n v="24"/>
    <n v="589"/>
    <n v="22"/>
    <n v="33.808636509999999"/>
    <s v="Pass"/>
    <n v="4.8434565770000004"/>
    <s v="Air"/>
    <s v="Route B"/>
    <n v="465.45700599999998"/>
  </r>
  <r>
    <x v="2"/>
    <s v="SKU85"/>
    <n v="76.962994420000001"/>
    <n v="83"/>
    <n v="25"/>
    <n v="8684.6130589999993"/>
    <x v="1"/>
    <x v="58"/>
    <n v="18"/>
    <n v="66"/>
    <n v="2"/>
    <s v="Carrier C"/>
    <n v="8.2491687050000007"/>
    <x v="2"/>
    <s v="Chennai"/>
    <n v="4"/>
    <n v="211"/>
    <n v="2"/>
    <n v="69.929345519999998"/>
    <s v="Fail"/>
    <n v="1.3744289999999999"/>
    <s v="Road"/>
    <s v="Route B"/>
    <n v="842.68682999999999"/>
  </r>
  <r>
    <x v="1"/>
    <s v="SKU86"/>
    <n v="19.99817694"/>
    <n v="18"/>
    <n v="223"/>
    <n v="1229.5910289999999"/>
    <x v="2"/>
    <x v="45"/>
    <n v="14"/>
    <n v="22"/>
    <n v="6"/>
    <s v="Carrier B"/>
    <n v="1.4543053100000001"/>
    <x v="1"/>
    <s v="Mumbai"/>
    <n v="4"/>
    <n v="569"/>
    <n v="18"/>
    <n v="74.608969999999999"/>
    <s v="Pass"/>
    <n v="2.051512931"/>
    <s v="Rail"/>
    <s v="Route A"/>
    <n v="264.2548898"/>
  </r>
  <r>
    <x v="0"/>
    <s v="SKU87"/>
    <n v="80.41403665"/>
    <n v="24"/>
    <n v="79"/>
    <n v="5133.8467010000004"/>
    <x v="3"/>
    <x v="4"/>
    <n v="7"/>
    <n v="55"/>
    <n v="10"/>
    <s v="Carrier A"/>
    <n v="6.5758037979999999"/>
    <x v="0"/>
    <s v="Chennai"/>
    <n v="27"/>
    <n v="523"/>
    <n v="17"/>
    <n v="28.696996819999999"/>
    <s v="Fail"/>
    <n v="3.693737788"/>
    <s v="Sea"/>
    <s v="Route B"/>
    <n v="879.35921770000004"/>
  </r>
  <r>
    <x v="2"/>
    <s v="SKU88"/>
    <n v="75.270406980000004"/>
    <n v="58"/>
    <n v="737"/>
    <n v="9444.7420330000004"/>
    <x v="3"/>
    <x v="27"/>
    <n v="18"/>
    <n v="85"/>
    <n v="7"/>
    <s v="Carrier A"/>
    <n v="3.8012531329999999"/>
    <x v="4"/>
    <s v="Mumbai"/>
    <n v="21"/>
    <n v="953"/>
    <n v="11"/>
    <n v="68.184919059999999"/>
    <s v="Pending"/>
    <n v="0.72220440200000002"/>
    <s v="Sea"/>
    <s v="Route A"/>
    <n v="103.916248"/>
  </r>
  <r>
    <x v="2"/>
    <s v="SKU89"/>
    <n v="97.760085579999995"/>
    <n v="10"/>
    <n v="134"/>
    <n v="5924.6825669999998"/>
    <x v="2"/>
    <x v="5"/>
    <n v="1"/>
    <n v="27"/>
    <n v="8"/>
    <s v="Carrier B"/>
    <n v="9.9298162449999996"/>
    <x v="1"/>
    <s v="Kolkata"/>
    <n v="23"/>
    <n v="370"/>
    <n v="11"/>
    <n v="46.603873380000003"/>
    <s v="Pending"/>
    <n v="1.9076657340000001"/>
    <s v="Rail"/>
    <s v="Route B"/>
    <n v="517.49997389999999"/>
  </r>
  <r>
    <x v="1"/>
    <s v="SKU90"/>
    <n v="13.8819135"/>
    <n v="56"/>
    <n v="320"/>
    <n v="9592.63357"/>
    <x v="0"/>
    <x v="59"/>
    <n v="18"/>
    <n v="96"/>
    <n v="7"/>
    <s v="Carrier B"/>
    <n v="7.674430708"/>
    <x v="0"/>
    <s v="Bangalore"/>
    <n v="8"/>
    <n v="585"/>
    <n v="8"/>
    <n v="85.675963339999996"/>
    <s v="Pass"/>
    <n v="1.2193822240000001"/>
    <s v="Rail"/>
    <s v="Route B"/>
    <n v="990.07847249999998"/>
  </r>
  <r>
    <x v="2"/>
    <s v="SKU91"/>
    <n v="62.11196546"/>
    <n v="90"/>
    <n v="916"/>
    <n v="1935.2067939999999"/>
    <x v="3"/>
    <x v="60"/>
    <n v="22"/>
    <n v="85"/>
    <n v="7"/>
    <s v="Carrier B"/>
    <n v="7.4715140839999998"/>
    <x v="3"/>
    <s v="Delhi"/>
    <n v="5"/>
    <n v="207"/>
    <n v="28"/>
    <n v="39.772882500000001"/>
    <s v="Pending"/>
    <n v="0.62600185799999997"/>
    <s v="Rail"/>
    <s v="Route B"/>
    <n v="996.77831500000002"/>
  </r>
  <r>
    <x v="2"/>
    <s v="SKU92"/>
    <n v="47.71423308"/>
    <n v="44"/>
    <n v="276"/>
    <n v="2100.1297549999999"/>
    <x v="3"/>
    <x v="5"/>
    <n v="25"/>
    <n v="10"/>
    <n v="8"/>
    <s v="Carrier B"/>
    <n v="4.4695000260000004"/>
    <x v="4"/>
    <s v="Mumbai"/>
    <n v="4"/>
    <n v="671"/>
    <n v="29"/>
    <n v="62.612690399999998"/>
    <s v="Pass"/>
    <n v="0.33343182500000002"/>
    <s v="Rail"/>
    <s v="Route B"/>
    <n v="230.0927825"/>
  </r>
  <r>
    <x v="0"/>
    <s v="SKU93"/>
    <n v="69.290830999999997"/>
    <n v="88"/>
    <n v="114"/>
    <n v="4531.4021339999999"/>
    <x v="2"/>
    <x v="61"/>
    <n v="17"/>
    <n v="66"/>
    <n v="1"/>
    <s v="Carrier C"/>
    <n v="7.0064320589999998"/>
    <x v="3"/>
    <s v="Chennai"/>
    <n v="21"/>
    <n v="824"/>
    <n v="20"/>
    <n v="35.633652339999998"/>
    <s v="Fail"/>
    <n v="4.165781795"/>
    <s v="Air"/>
    <s v="Route A"/>
    <n v="823.52384589999997"/>
  </r>
  <r>
    <x v="2"/>
    <s v="SKU94"/>
    <n v="3.0376887250000002"/>
    <n v="97"/>
    <n v="987"/>
    <n v="7888.3565470000003"/>
    <x v="2"/>
    <x v="62"/>
    <n v="26"/>
    <n v="72"/>
    <n v="9"/>
    <s v="Carrier B"/>
    <n v="6.9429459419999997"/>
    <x v="4"/>
    <s v="Delhi"/>
    <n v="12"/>
    <n v="908"/>
    <n v="14"/>
    <n v="60.387378609999999"/>
    <s v="Pass"/>
    <n v="1.463607498"/>
    <s v="Rail"/>
    <s v="Route B"/>
    <n v="846.665257"/>
  </r>
  <r>
    <x v="0"/>
    <s v="SKU95"/>
    <n v="77.90392722"/>
    <n v="65"/>
    <n v="672"/>
    <n v="7386.3639439999997"/>
    <x v="2"/>
    <x v="58"/>
    <n v="14"/>
    <n v="26"/>
    <n v="9"/>
    <s v="Carrier B"/>
    <n v="8.6303388699999992"/>
    <x v="3"/>
    <s v="Mumbai"/>
    <n v="18"/>
    <n v="450"/>
    <n v="26"/>
    <n v="58.890685769999997"/>
    <s v="Pending"/>
    <n v="1.2108821299999999"/>
    <s v="Air"/>
    <s v="Route A"/>
    <n v="778.86424139999997"/>
  </r>
  <r>
    <x v="2"/>
    <s v="SKU96"/>
    <n v="24.423131420000001"/>
    <n v="29"/>
    <n v="324"/>
    <n v="7698.4247660000001"/>
    <x v="0"/>
    <x v="63"/>
    <n v="2"/>
    <n v="32"/>
    <n v="3"/>
    <s v="Carrier C"/>
    <n v="5.3528780439999997"/>
    <x v="0"/>
    <s v="Mumbai"/>
    <n v="28"/>
    <n v="648"/>
    <n v="28"/>
    <n v="17.803756329999999"/>
    <s v="Pending"/>
    <n v="3.8720476810000002"/>
    <s v="Road"/>
    <s v="Route A"/>
    <n v="188.7421411"/>
  </r>
  <r>
    <x v="0"/>
    <s v="SKU97"/>
    <n v="3.5261112589999999"/>
    <n v="56"/>
    <n v="62"/>
    <n v="4370.9165800000001"/>
    <x v="3"/>
    <x v="10"/>
    <n v="19"/>
    <n v="4"/>
    <n v="9"/>
    <s v="Carrier A"/>
    <n v="7.9048456109999998"/>
    <x v="3"/>
    <s v="Mumbai"/>
    <n v="10"/>
    <n v="535"/>
    <n v="13"/>
    <n v="65.765155930000006"/>
    <s v="Fail"/>
    <n v="3.376237835"/>
    <s v="Road"/>
    <s v="Route A"/>
    <n v="540.13242290000005"/>
  </r>
  <r>
    <x v="1"/>
    <s v="SKU98"/>
    <n v="19.754604870000001"/>
    <n v="43"/>
    <n v="913"/>
    <n v="8525.9525599999997"/>
    <x v="1"/>
    <x v="1"/>
    <n v="1"/>
    <n v="27"/>
    <n v="7"/>
    <s v="Carrier B"/>
    <n v="1.4098010949999999"/>
    <x v="2"/>
    <s v="Chennai"/>
    <n v="28"/>
    <n v="581"/>
    <n v="9"/>
    <n v="5.6046908640000002"/>
    <s v="Pending"/>
    <n v="2.9081221689999999"/>
    <s v="Rail"/>
    <s v="Route A"/>
    <n v="882.19886350000002"/>
  </r>
  <r>
    <x v="0"/>
    <s v="SKU99"/>
    <n v="68.5178327"/>
    <n v="17"/>
    <n v="627"/>
    <n v="9185.185829"/>
    <x v="2"/>
    <x v="64"/>
    <n v="8"/>
    <n v="59"/>
    <n v="6"/>
    <s v="Carrier B"/>
    <n v="1.311023756"/>
    <x v="4"/>
    <s v="Chennai"/>
    <n v="29"/>
    <n v="921"/>
    <n v="2"/>
    <n v="38.072898520000003"/>
    <s v="Fail"/>
    <n v="0.34602729100000001"/>
    <s v="Rail"/>
    <s v="Route B"/>
    <n v="210.743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2">
  <location ref="D3:E7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5">
        <item x="1"/>
        <item x="3"/>
        <item x="0"/>
        <item x="2"/>
        <item t="default"/>
      </items>
    </pivotField>
    <pivotField showAll="0">
      <items count="66">
        <item x="50"/>
        <item x="2"/>
        <item x="15"/>
        <item x="23"/>
        <item x="4"/>
        <item x="28"/>
        <item x="14"/>
        <item x="17"/>
        <item x="6"/>
        <item x="49"/>
        <item x="37"/>
        <item x="8"/>
        <item x="58"/>
        <item x="54"/>
        <item x="53"/>
        <item x="31"/>
        <item x="35"/>
        <item x="3"/>
        <item x="32"/>
        <item x="19"/>
        <item x="39"/>
        <item x="41"/>
        <item x="45"/>
        <item x="43"/>
        <item x="36"/>
        <item x="55"/>
        <item x="56"/>
        <item x="44"/>
        <item x="30"/>
        <item x="16"/>
        <item x="10"/>
        <item x="26"/>
        <item x="18"/>
        <item x="9"/>
        <item x="1"/>
        <item x="13"/>
        <item x="64"/>
        <item x="48"/>
        <item x="0"/>
        <item x="25"/>
        <item x="27"/>
        <item x="61"/>
        <item x="34"/>
        <item x="57"/>
        <item x="59"/>
        <item x="63"/>
        <item x="20"/>
        <item x="21"/>
        <item x="47"/>
        <item x="52"/>
        <item x="62"/>
        <item x="33"/>
        <item x="12"/>
        <item x="24"/>
        <item x="22"/>
        <item x="46"/>
        <item x="29"/>
        <item x="5"/>
        <item x="38"/>
        <item x="7"/>
        <item x="51"/>
        <item x="42"/>
        <item x="40"/>
        <item x="6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demographics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B9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>
      <items count="66">
        <item x="50"/>
        <item x="2"/>
        <item x="15"/>
        <item x="23"/>
        <item x="4"/>
        <item x="28"/>
        <item x="14"/>
        <item x="17"/>
        <item x="6"/>
        <item x="49"/>
        <item x="37"/>
        <item x="8"/>
        <item x="58"/>
        <item x="54"/>
        <item x="53"/>
        <item x="31"/>
        <item x="35"/>
        <item x="3"/>
        <item x="32"/>
        <item x="19"/>
        <item x="39"/>
        <item x="41"/>
        <item x="45"/>
        <item x="43"/>
        <item x="36"/>
        <item x="55"/>
        <item x="56"/>
        <item x="44"/>
        <item x="30"/>
        <item x="16"/>
        <item x="10"/>
        <item x="26"/>
        <item x="18"/>
        <item x="9"/>
        <item x="1"/>
        <item x="13"/>
        <item x="64"/>
        <item x="48"/>
        <item x="0"/>
        <item x="25"/>
        <item x="27"/>
        <item x="61"/>
        <item x="34"/>
        <item x="57"/>
        <item x="59"/>
        <item x="63"/>
        <item x="20"/>
        <item x="21"/>
        <item x="47"/>
        <item x="52"/>
        <item x="62"/>
        <item x="33"/>
        <item x="12"/>
        <item x="24"/>
        <item x="22"/>
        <item x="46"/>
        <item x="29"/>
        <item x="5"/>
        <item x="38"/>
        <item x="7"/>
        <item x="51"/>
        <item x="42"/>
        <item x="40"/>
        <item x="6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 level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X101" totalsRowShown="0">
  <autoFilter xmlns:etc="http://www.wps.cn/officeDocument/2017/etCustomData" ref="A1:X101" etc:filterBottomFollowUsedRange="0"/>
  <tableColumns count="24">
    <tableColumn id="1" name="Product type"/>
    <tableColumn id="2" name="SKU"/>
    <tableColumn id="3" name="Price"/>
    <tableColumn id="4" name="Availability"/>
    <tableColumn id="5" name="Number of products sold"/>
    <tableColumn id="6" name="Revenue generated"/>
    <tableColumn id="7" name="Customer demographics"/>
    <tableColumn id="8" name="Stock levels"/>
    <tableColumn id="9" name="Lead times"/>
    <tableColumn id="10" name="Order quantities"/>
    <tableColumn id="11" name="Shipping times"/>
    <tableColumn id="12" name="Shipping carriers"/>
    <tableColumn id="13" name="Shipping costs"/>
    <tableColumn id="14" name="Supplier name"/>
    <tableColumn id="15" name="Location"/>
    <tableColumn id="16" name="Lead time"/>
    <tableColumn id="17" name="Production volumes"/>
    <tableColumn id="18" name="Manufacturing lead time"/>
    <tableColumn id="19" name="Manufacturing costs"/>
    <tableColumn id="20" name="Inspection results"/>
    <tableColumn id="21" name="Defect rates"/>
    <tableColumn id="22" name="Transportation modes"/>
    <tableColumn id="23" name="Routes"/>
    <tableColumn id="24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"/>
  <sheetViews>
    <sheetView topLeftCell="M1" workbookViewId="0">
      <selection activeCell="N38" sqref="N38:N39"/>
    </sheetView>
  </sheetViews>
  <sheetFormatPr defaultColWidth="9" defaultRowHeight="14.4"/>
  <cols>
    <col min="1" max="1" width="14.4259259259259" customWidth="1"/>
    <col min="4" max="4" width="13.1388888888889" customWidth="1"/>
    <col min="5" max="5" width="25" customWidth="1"/>
    <col min="6" max="6" width="20.5740740740741" customWidth="1"/>
    <col min="7" max="7" width="24.5740740740741" customWidth="1"/>
    <col min="8" max="8" width="13.5740740740741" customWidth="1"/>
    <col min="9" max="9" width="12.712962962963" customWidth="1"/>
    <col min="10" max="10" width="17.712962962963" customWidth="1"/>
    <col min="11" max="11" width="16.287037037037" customWidth="1"/>
    <col min="12" max="12" width="17.8518518518519" customWidth="1"/>
    <col min="13" max="13" width="15.712962962963" customWidth="1"/>
    <col min="14" max="14" width="16" customWidth="1"/>
    <col min="15" max="15" width="10.5740740740741" customWidth="1"/>
    <col min="16" max="16" width="11.8518518518519" customWidth="1"/>
    <col min="17" max="17" width="20.8518518518519" customWidth="1"/>
    <col min="18" max="18" width="25" customWidth="1"/>
    <col min="19" max="19" width="21" customWidth="1"/>
    <col min="20" max="20" width="18.8518518518519" customWidth="1"/>
    <col min="21" max="21" width="13.8518518518519" customWidth="1"/>
    <col min="22" max="22" width="22.5740740740741" customWidth="1"/>
    <col min="23" max="23" width="9.28703703703704" customWidth="1"/>
    <col min="26" max="26" width="14.4259259259259" customWidth="1"/>
    <col min="27" max="27" width="21" customWidth="1"/>
    <col min="28" max="28" width="20.8518518518519" customWidth="1"/>
    <col min="33" max="33" width="2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0</v>
      </c>
      <c r="AA1" t="s">
        <v>18</v>
      </c>
      <c r="AB1" t="s">
        <v>16</v>
      </c>
    </row>
    <row r="2" spans="1:28">
      <c r="A2" t="s">
        <v>24</v>
      </c>
      <c r="B2" t="s">
        <v>25</v>
      </c>
      <c r="C2">
        <v>69.80800554</v>
      </c>
      <c r="D2">
        <v>55</v>
      </c>
      <c r="E2">
        <v>802</v>
      </c>
      <c r="F2">
        <v>8661.996792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187.7520755</v>
      </c>
      <c r="Z2" t="s">
        <v>24</v>
      </c>
      <c r="AA2">
        <v>46.27987924</v>
      </c>
      <c r="AB2">
        <v>215</v>
      </c>
    </row>
    <row r="3" spans="1:28">
      <c r="A3" t="s">
        <v>33</v>
      </c>
      <c r="B3" t="s">
        <v>34</v>
      </c>
      <c r="C3">
        <v>14.84352328</v>
      </c>
      <c r="D3">
        <v>95</v>
      </c>
      <c r="E3">
        <v>736</v>
      </c>
      <c r="F3">
        <v>7460.900065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</v>
      </c>
      <c r="T3" t="s">
        <v>30</v>
      </c>
      <c r="U3">
        <v>4.854068026</v>
      </c>
      <c r="V3" t="s">
        <v>31</v>
      </c>
      <c r="W3" t="s">
        <v>32</v>
      </c>
      <c r="X3">
        <v>503.0655791</v>
      </c>
      <c r="Z3" t="s">
        <v>33</v>
      </c>
      <c r="AA3">
        <v>33.61676895</v>
      </c>
      <c r="AB3">
        <v>517</v>
      </c>
    </row>
    <row r="4" spans="1:28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</v>
      </c>
      <c r="T4" t="s">
        <v>30</v>
      </c>
      <c r="U4">
        <v>4.580592619</v>
      </c>
      <c r="V4" t="s">
        <v>40</v>
      </c>
      <c r="W4" t="s">
        <v>41</v>
      </c>
      <c r="X4">
        <v>141.9202818</v>
      </c>
      <c r="Z4" t="s">
        <v>24</v>
      </c>
      <c r="AA4">
        <v>30.68801935</v>
      </c>
      <c r="AB4">
        <v>971</v>
      </c>
    </row>
    <row r="5" spans="1:28">
      <c r="A5" t="s">
        <v>33</v>
      </c>
      <c r="B5" t="s">
        <v>42</v>
      </c>
      <c r="C5">
        <v>61.16334302</v>
      </c>
      <c r="D5">
        <v>68</v>
      </c>
      <c r="E5">
        <v>83</v>
      </c>
      <c r="F5">
        <v>7766.836426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35.6247414</v>
      </c>
      <c r="T5" t="s">
        <v>46</v>
      </c>
      <c r="U5">
        <v>4.746648621</v>
      </c>
      <c r="V5" t="s">
        <v>47</v>
      </c>
      <c r="W5" t="s">
        <v>48</v>
      </c>
      <c r="X5">
        <v>254.7761592</v>
      </c>
      <c r="Z5" t="s">
        <v>33</v>
      </c>
      <c r="AA5">
        <v>35.6247414</v>
      </c>
      <c r="AB5">
        <v>937</v>
      </c>
    </row>
    <row r="6" spans="1:28">
      <c r="A6" t="s">
        <v>33</v>
      </c>
      <c r="B6" t="s">
        <v>49</v>
      </c>
      <c r="C6">
        <v>4.805496036</v>
      </c>
      <c r="D6">
        <v>26</v>
      </c>
      <c r="E6">
        <v>871</v>
      </c>
      <c r="F6">
        <v>2686.505152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92.0651606</v>
      </c>
      <c r="T6" t="s">
        <v>46</v>
      </c>
      <c r="U6">
        <v>3.145579523</v>
      </c>
      <c r="V6" t="s">
        <v>40</v>
      </c>
      <c r="W6" t="s">
        <v>48</v>
      </c>
      <c r="X6">
        <v>923.4406317</v>
      </c>
      <c r="Z6" t="s">
        <v>33</v>
      </c>
      <c r="AA6">
        <v>92.0651606</v>
      </c>
      <c r="AB6">
        <v>414</v>
      </c>
    </row>
    <row r="7" spans="1:28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  <c r="Z7" t="s">
        <v>24</v>
      </c>
      <c r="AA7">
        <v>56.76647556</v>
      </c>
      <c r="AB7">
        <v>104</v>
      </c>
    </row>
    <row r="8" spans="1:28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1.000910619</v>
      </c>
      <c r="V8" t="s">
        <v>56</v>
      </c>
      <c r="W8" t="s">
        <v>48</v>
      </c>
      <c r="X8">
        <v>134.3690969</v>
      </c>
      <c r="Z8" t="s">
        <v>33</v>
      </c>
      <c r="AA8">
        <v>1.08506857</v>
      </c>
      <c r="AB8">
        <v>314</v>
      </c>
    </row>
    <row r="9" spans="1:28">
      <c r="A9" t="s">
        <v>57</v>
      </c>
      <c r="B9" t="s">
        <v>58</v>
      </c>
      <c r="C9">
        <v>42.95838438</v>
      </c>
      <c r="D9">
        <v>59</v>
      </c>
      <c r="E9">
        <v>426</v>
      </c>
      <c r="F9">
        <v>8496.103813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</v>
      </c>
      <c r="T9" t="s">
        <v>46</v>
      </c>
      <c r="U9">
        <v>0.398177187</v>
      </c>
      <c r="V9" t="s">
        <v>31</v>
      </c>
      <c r="W9" t="s">
        <v>41</v>
      </c>
      <c r="X9">
        <v>802.0563118</v>
      </c>
      <c r="Z9" t="s">
        <v>57</v>
      </c>
      <c r="AA9">
        <v>99.4661086</v>
      </c>
      <c r="AB9">
        <v>564</v>
      </c>
    </row>
    <row r="10" spans="1:28">
      <c r="A10" t="s">
        <v>57</v>
      </c>
      <c r="B10" t="s">
        <v>59</v>
      </c>
      <c r="C10">
        <v>68.71759675</v>
      </c>
      <c r="D10">
        <v>78</v>
      </c>
      <c r="E10">
        <v>150</v>
      </c>
      <c r="F10">
        <v>7517.363211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</v>
      </c>
      <c r="V10" t="s">
        <v>56</v>
      </c>
      <c r="W10" t="s">
        <v>32</v>
      </c>
      <c r="X10">
        <v>505.5571342</v>
      </c>
      <c r="Z10" t="s">
        <v>57</v>
      </c>
      <c r="AA10">
        <v>11.42302714</v>
      </c>
      <c r="AB10">
        <v>769</v>
      </c>
    </row>
    <row r="11" spans="1:28">
      <c r="A11" t="s">
        <v>33</v>
      </c>
      <c r="B11" t="s">
        <v>60</v>
      </c>
      <c r="C11">
        <v>64.01573294</v>
      </c>
      <c r="D11">
        <v>54</v>
      </c>
      <c r="E11">
        <v>980</v>
      </c>
      <c r="F11">
        <v>4971.145988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</v>
      </c>
      <c r="T11" t="s">
        <v>30</v>
      </c>
      <c r="U11">
        <v>3.844614479</v>
      </c>
      <c r="V11" t="s">
        <v>47</v>
      </c>
      <c r="W11" t="s">
        <v>32</v>
      </c>
      <c r="X11">
        <v>995.9294615</v>
      </c>
      <c r="Z11" t="s">
        <v>33</v>
      </c>
      <c r="AA11">
        <v>47.95760163</v>
      </c>
      <c r="AB11">
        <v>963</v>
      </c>
    </row>
    <row r="12" spans="1:28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96.52735279</v>
      </c>
      <c r="T12" t="s">
        <v>64</v>
      </c>
      <c r="U12">
        <v>1.727313928</v>
      </c>
      <c r="V12" t="s">
        <v>31</v>
      </c>
      <c r="W12" t="s">
        <v>32</v>
      </c>
      <c r="X12">
        <v>806.1031777</v>
      </c>
      <c r="Z12" t="s">
        <v>33</v>
      </c>
      <c r="AA12">
        <v>96.52735279</v>
      </c>
      <c r="AB12">
        <v>830</v>
      </c>
    </row>
    <row r="13" spans="1:28">
      <c r="A13" t="s">
        <v>33</v>
      </c>
      <c r="B13" t="s">
        <v>65</v>
      </c>
      <c r="C13">
        <v>90.63545998</v>
      </c>
      <c r="D13">
        <v>95</v>
      </c>
      <c r="E13">
        <v>960</v>
      </c>
      <c r="F13">
        <v>6099.944116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27.59236309</v>
      </c>
      <c r="T13" t="s">
        <v>30</v>
      </c>
      <c r="U13">
        <v>0.021169821</v>
      </c>
      <c r="V13" t="s">
        <v>40</v>
      </c>
      <c r="W13" t="s">
        <v>48</v>
      </c>
      <c r="X13">
        <v>126.7230334</v>
      </c>
      <c r="Z13" t="s">
        <v>33</v>
      </c>
      <c r="AA13">
        <v>27.59236309</v>
      </c>
      <c r="AB13">
        <v>362</v>
      </c>
    </row>
    <row r="14" spans="1:28">
      <c r="A14" t="s">
        <v>24</v>
      </c>
      <c r="B14" t="s">
        <v>66</v>
      </c>
      <c r="C14">
        <v>71.21338908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</v>
      </c>
      <c r="T14" t="s">
        <v>46</v>
      </c>
      <c r="U14">
        <v>2.161253748</v>
      </c>
      <c r="V14" t="s">
        <v>31</v>
      </c>
      <c r="W14" t="s">
        <v>32</v>
      </c>
      <c r="X14">
        <v>402.9687891</v>
      </c>
      <c r="Z14" t="s">
        <v>24</v>
      </c>
      <c r="AA14">
        <v>32.32128621</v>
      </c>
      <c r="AB14">
        <v>563</v>
      </c>
    </row>
    <row r="15" spans="1:28">
      <c r="A15" t="s">
        <v>33</v>
      </c>
      <c r="B15" t="s">
        <v>67</v>
      </c>
      <c r="C15">
        <v>16.16039332</v>
      </c>
      <c r="D15">
        <v>5</v>
      </c>
      <c r="E15">
        <v>249</v>
      </c>
      <c r="F15">
        <v>4052.738416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</v>
      </c>
      <c r="T15" t="s">
        <v>30</v>
      </c>
      <c r="U15">
        <v>1.63107423</v>
      </c>
      <c r="V15" t="s">
        <v>31</v>
      </c>
      <c r="W15" t="s">
        <v>32</v>
      </c>
      <c r="X15">
        <v>547.2410052</v>
      </c>
      <c r="Z15" t="s">
        <v>33</v>
      </c>
      <c r="AA15">
        <v>97.82905011</v>
      </c>
      <c r="AB15">
        <v>173</v>
      </c>
    </row>
    <row r="16" spans="1:28">
      <c r="A16" t="s">
        <v>33</v>
      </c>
      <c r="B16" t="s">
        <v>68</v>
      </c>
      <c r="C16">
        <v>99.17132864</v>
      </c>
      <c r="D16">
        <v>26</v>
      </c>
      <c r="E16">
        <v>562</v>
      </c>
      <c r="F16">
        <v>8653.570926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5.79143663</v>
      </c>
      <c r="T16" t="s">
        <v>30</v>
      </c>
      <c r="U16">
        <v>0.100682852</v>
      </c>
      <c r="V16" t="s">
        <v>40</v>
      </c>
      <c r="W16" t="s">
        <v>32</v>
      </c>
      <c r="X16">
        <v>929.23529</v>
      </c>
      <c r="Z16" t="s">
        <v>33</v>
      </c>
      <c r="AA16">
        <v>5.79143663</v>
      </c>
      <c r="AB16">
        <v>558</v>
      </c>
    </row>
    <row r="17" spans="1:28">
      <c r="A17" t="s">
        <v>33</v>
      </c>
      <c r="B17" t="s">
        <v>69</v>
      </c>
      <c r="C17">
        <v>36.98924493</v>
      </c>
      <c r="D17">
        <v>94</v>
      </c>
      <c r="E17">
        <v>469</v>
      </c>
      <c r="F17">
        <v>5442.086785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</v>
      </c>
      <c r="T17" t="s">
        <v>64</v>
      </c>
      <c r="U17">
        <v>2.264405761</v>
      </c>
      <c r="V17" t="s">
        <v>56</v>
      </c>
      <c r="W17" t="s">
        <v>32</v>
      </c>
      <c r="X17">
        <v>127.8618</v>
      </c>
      <c r="Z17" t="s">
        <v>33</v>
      </c>
      <c r="AA17">
        <v>97.12128175</v>
      </c>
      <c r="AB17">
        <v>580</v>
      </c>
    </row>
    <row r="18" spans="1:28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6453.797968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77.1063425</v>
      </c>
      <c r="T18" t="s">
        <v>64</v>
      </c>
      <c r="U18">
        <v>1.012563089</v>
      </c>
      <c r="V18" t="s">
        <v>40</v>
      </c>
      <c r="W18" t="s">
        <v>48</v>
      </c>
      <c r="X18">
        <v>865.5257798</v>
      </c>
      <c r="Z18" t="s">
        <v>33</v>
      </c>
      <c r="AA18">
        <v>77.1063425</v>
      </c>
      <c r="AB18">
        <v>399</v>
      </c>
    </row>
    <row r="19" spans="1:28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670.9343908</v>
      </c>
      <c r="Z19" t="s">
        <v>57</v>
      </c>
      <c r="AA19">
        <v>47.67968037</v>
      </c>
      <c r="AB19">
        <v>453</v>
      </c>
    </row>
    <row r="20" spans="1:28">
      <c r="A20" t="s">
        <v>24</v>
      </c>
      <c r="B20" t="s">
        <v>72</v>
      </c>
      <c r="C20">
        <v>36.44362777</v>
      </c>
      <c r="D20">
        <v>23</v>
      </c>
      <c r="E20">
        <v>620</v>
      </c>
      <c r="F20">
        <v>9364.673505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</v>
      </c>
      <c r="T20" t="s">
        <v>30</v>
      </c>
      <c r="U20">
        <v>2.231939111</v>
      </c>
      <c r="V20" t="s">
        <v>56</v>
      </c>
      <c r="W20" t="s">
        <v>48</v>
      </c>
      <c r="X20">
        <v>593.4802587</v>
      </c>
      <c r="Z20" t="s">
        <v>24</v>
      </c>
      <c r="AA20">
        <v>27.10798085</v>
      </c>
      <c r="AB20">
        <v>374</v>
      </c>
    </row>
    <row r="21" spans="1:28">
      <c r="A21" t="s">
        <v>33</v>
      </c>
      <c r="B21" t="s">
        <v>73</v>
      </c>
      <c r="C21">
        <v>51.12387009</v>
      </c>
      <c r="D21">
        <v>100</v>
      </c>
      <c r="E21">
        <v>187</v>
      </c>
      <c r="F21">
        <v>2553.495585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</v>
      </c>
      <c r="T21" t="s">
        <v>46</v>
      </c>
      <c r="U21">
        <v>3.646450865</v>
      </c>
      <c r="V21" t="s">
        <v>31</v>
      </c>
      <c r="W21" t="s">
        <v>41</v>
      </c>
      <c r="X21">
        <v>477.3076311</v>
      </c>
      <c r="Z21" t="s">
        <v>33</v>
      </c>
      <c r="AA21">
        <v>82.37332059</v>
      </c>
      <c r="AB21">
        <v>694</v>
      </c>
    </row>
    <row r="22" spans="1:28">
      <c r="A22" t="s">
        <v>33</v>
      </c>
      <c r="B22" t="s">
        <v>74</v>
      </c>
      <c r="C22">
        <v>96.34107244</v>
      </c>
      <c r="D22">
        <v>22</v>
      </c>
      <c r="E22">
        <v>320</v>
      </c>
      <c r="F22">
        <v>8128.027697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8.878334651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65.68625961</v>
      </c>
      <c r="T22" t="s">
        <v>64</v>
      </c>
      <c r="U22">
        <v>4.231416574</v>
      </c>
      <c r="V22" t="s">
        <v>40</v>
      </c>
      <c r="W22" t="s">
        <v>32</v>
      </c>
      <c r="X22">
        <v>493.8712153</v>
      </c>
      <c r="Z22" t="s">
        <v>33</v>
      </c>
      <c r="AA22">
        <v>65.68625961</v>
      </c>
      <c r="AB22">
        <v>309</v>
      </c>
    </row>
    <row r="23" spans="1:28">
      <c r="A23" t="s">
        <v>57</v>
      </c>
      <c r="B23" t="s">
        <v>75</v>
      </c>
      <c r="C23">
        <v>84.89386898</v>
      </c>
      <c r="D23">
        <v>60</v>
      </c>
      <c r="E23">
        <v>601</v>
      </c>
      <c r="F23">
        <v>7087.052696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</v>
      </c>
      <c r="T23" t="s">
        <v>30</v>
      </c>
      <c r="U23">
        <v>0.018607568</v>
      </c>
      <c r="V23" t="s">
        <v>40</v>
      </c>
      <c r="W23" t="s">
        <v>41</v>
      </c>
      <c r="X23">
        <v>523.3609147</v>
      </c>
      <c r="Z23" t="s">
        <v>57</v>
      </c>
      <c r="AA23">
        <v>61.73572895</v>
      </c>
      <c r="AB23">
        <v>791</v>
      </c>
    </row>
    <row r="24" spans="1:28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</v>
      </c>
      <c r="T24" t="s">
        <v>46</v>
      </c>
      <c r="U24">
        <v>2.591275473</v>
      </c>
      <c r="V24" t="s">
        <v>47</v>
      </c>
      <c r="W24" t="s">
        <v>41</v>
      </c>
      <c r="X24">
        <v>205.5719958</v>
      </c>
      <c r="Z24" t="s">
        <v>24</v>
      </c>
      <c r="AA24">
        <v>50.12083961</v>
      </c>
      <c r="AB24">
        <v>780</v>
      </c>
    </row>
    <row r="25" spans="1:28">
      <c r="A25" t="s">
        <v>57</v>
      </c>
      <c r="B25" t="s">
        <v>77</v>
      </c>
      <c r="C25">
        <v>4.324341186</v>
      </c>
      <c r="D25">
        <v>30</v>
      </c>
      <c r="E25">
        <v>391</v>
      </c>
      <c r="F25">
        <v>8858.367571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</v>
      </c>
      <c r="V25" t="s">
        <v>47</v>
      </c>
      <c r="W25" t="s">
        <v>48</v>
      </c>
      <c r="X25">
        <v>196.3294461</v>
      </c>
      <c r="Z25" t="s">
        <v>57</v>
      </c>
      <c r="AA25">
        <v>98.60995724</v>
      </c>
      <c r="AB25">
        <v>568</v>
      </c>
    </row>
    <row r="26" spans="1:28">
      <c r="A26" t="s">
        <v>24</v>
      </c>
      <c r="B26" t="s">
        <v>78</v>
      </c>
      <c r="C26">
        <v>4.156308359</v>
      </c>
      <c r="D26">
        <v>32</v>
      </c>
      <c r="E26">
        <v>209</v>
      </c>
      <c r="F26">
        <v>9049.077861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</v>
      </c>
      <c r="T26" t="s">
        <v>30</v>
      </c>
      <c r="U26">
        <v>3.691310293</v>
      </c>
      <c r="V26" t="s">
        <v>40</v>
      </c>
      <c r="W26" t="s">
        <v>48</v>
      </c>
      <c r="X26">
        <v>758.7247726</v>
      </c>
      <c r="Z26" t="s">
        <v>24</v>
      </c>
      <c r="AA26">
        <v>40.3823597</v>
      </c>
      <c r="AB26">
        <v>447</v>
      </c>
    </row>
    <row r="27" spans="1:28">
      <c r="A27" t="s">
        <v>24</v>
      </c>
      <c r="B27" t="s">
        <v>79</v>
      </c>
      <c r="C27">
        <v>39.62934399</v>
      </c>
      <c r="D27">
        <v>73</v>
      </c>
      <c r="E27">
        <v>142</v>
      </c>
      <c r="F27">
        <v>2174.777054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78.28038312</v>
      </c>
      <c r="T27" t="s">
        <v>30</v>
      </c>
      <c r="U27">
        <v>3.797231217</v>
      </c>
      <c r="V27" t="s">
        <v>31</v>
      </c>
      <c r="W27" t="s">
        <v>32</v>
      </c>
      <c r="X27">
        <v>458.5359457</v>
      </c>
      <c r="Z27" t="s">
        <v>24</v>
      </c>
      <c r="AA27">
        <v>78.28038312</v>
      </c>
      <c r="AB27">
        <v>934</v>
      </c>
    </row>
    <row r="28" spans="1:28">
      <c r="A28" t="s">
        <v>24</v>
      </c>
      <c r="B28" t="s">
        <v>80</v>
      </c>
      <c r="C28">
        <v>97.44694662</v>
      </c>
      <c r="D28">
        <v>9</v>
      </c>
      <c r="E28">
        <v>353</v>
      </c>
      <c r="F28">
        <v>3716.493326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15.97222976</v>
      </c>
      <c r="T28" t="s">
        <v>64</v>
      </c>
      <c r="U28">
        <v>2.119319737</v>
      </c>
      <c r="V28" t="s">
        <v>47</v>
      </c>
      <c r="W28" t="s">
        <v>48</v>
      </c>
      <c r="X28">
        <v>617.8669165</v>
      </c>
      <c r="Z28" t="s">
        <v>24</v>
      </c>
      <c r="AA28">
        <v>15.97222976</v>
      </c>
      <c r="AB28">
        <v>171</v>
      </c>
    </row>
    <row r="29" spans="1:28">
      <c r="A29" t="s">
        <v>57</v>
      </c>
      <c r="B29" t="s">
        <v>81</v>
      </c>
      <c r="C29">
        <v>92.55736081</v>
      </c>
      <c r="D29">
        <v>42</v>
      </c>
      <c r="E29">
        <v>352</v>
      </c>
      <c r="F29">
        <v>2686.457224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</v>
      </c>
      <c r="T29" t="s">
        <v>46</v>
      </c>
      <c r="U29">
        <v>2.864667838</v>
      </c>
      <c r="V29" t="s">
        <v>56</v>
      </c>
      <c r="W29" t="s">
        <v>32</v>
      </c>
      <c r="X29">
        <v>762.4591822</v>
      </c>
      <c r="Z29" t="s">
        <v>57</v>
      </c>
      <c r="AA29">
        <v>10.52824507</v>
      </c>
      <c r="AB29">
        <v>291</v>
      </c>
    </row>
    <row r="30" spans="1:28">
      <c r="A30" t="s">
        <v>57</v>
      </c>
      <c r="B30" t="s">
        <v>82</v>
      </c>
      <c r="C30">
        <v>2.397274706</v>
      </c>
      <c r="D30">
        <v>12</v>
      </c>
      <c r="E30">
        <v>394</v>
      </c>
      <c r="F30">
        <v>6117.324615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</v>
      </c>
      <c r="T30" t="s">
        <v>46</v>
      </c>
      <c r="U30">
        <v>0.815757079</v>
      </c>
      <c r="V30" t="s">
        <v>40</v>
      </c>
      <c r="W30" t="s">
        <v>48</v>
      </c>
      <c r="X30">
        <v>123.4370275</v>
      </c>
      <c r="Z30" t="s">
        <v>57</v>
      </c>
      <c r="AA30">
        <v>59.42938181</v>
      </c>
      <c r="AB30">
        <v>171</v>
      </c>
    </row>
    <row r="31" spans="1:28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</v>
      </c>
      <c r="T31" t="s">
        <v>64</v>
      </c>
      <c r="U31">
        <v>3.878098937</v>
      </c>
      <c r="V31" t="s">
        <v>31</v>
      </c>
      <c r="W31" t="s">
        <v>32</v>
      </c>
      <c r="X31">
        <v>764.9353759</v>
      </c>
      <c r="Z31" t="s">
        <v>57</v>
      </c>
      <c r="AA31">
        <v>39.29287559</v>
      </c>
      <c r="AB31">
        <v>329</v>
      </c>
    </row>
    <row r="32" spans="1:28">
      <c r="A32" t="s">
        <v>24</v>
      </c>
      <c r="B32" t="s">
        <v>84</v>
      </c>
      <c r="C32">
        <v>8.022859211</v>
      </c>
      <c r="D32">
        <v>10</v>
      </c>
      <c r="E32">
        <v>327</v>
      </c>
      <c r="F32">
        <v>2766.342367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</v>
      </c>
      <c r="T32" t="s">
        <v>30</v>
      </c>
      <c r="U32">
        <v>0.965394705</v>
      </c>
      <c r="V32" t="s">
        <v>31</v>
      </c>
      <c r="W32" t="s">
        <v>41</v>
      </c>
      <c r="X32">
        <v>880.0809882</v>
      </c>
      <c r="Z32" t="s">
        <v>24</v>
      </c>
      <c r="AA32">
        <v>51.6348934</v>
      </c>
      <c r="AB32">
        <v>806</v>
      </c>
    </row>
    <row r="33" spans="1:28">
      <c r="A33" t="s">
        <v>33</v>
      </c>
      <c r="B33" t="s">
        <v>85</v>
      </c>
      <c r="C33">
        <v>50.84739305</v>
      </c>
      <c r="D33">
        <v>28</v>
      </c>
      <c r="E33">
        <v>168</v>
      </c>
      <c r="F33">
        <v>9655.135103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</v>
      </c>
      <c r="T33" t="s">
        <v>30</v>
      </c>
      <c r="U33">
        <v>2.989000007</v>
      </c>
      <c r="V33" t="s">
        <v>47</v>
      </c>
      <c r="W33" t="s">
        <v>41</v>
      </c>
      <c r="X33">
        <v>609.3792066</v>
      </c>
      <c r="Z33" t="s">
        <v>33</v>
      </c>
      <c r="AA33">
        <v>60.25114566</v>
      </c>
      <c r="AB33">
        <v>461</v>
      </c>
    </row>
    <row r="34" spans="1:28">
      <c r="A34" t="s">
        <v>33</v>
      </c>
      <c r="B34" t="s">
        <v>86</v>
      </c>
      <c r="C34">
        <v>79.20993602</v>
      </c>
      <c r="D34">
        <v>43</v>
      </c>
      <c r="E34">
        <v>781</v>
      </c>
      <c r="F34">
        <v>9571.550487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</v>
      </c>
      <c r="T34" t="s">
        <v>64</v>
      </c>
      <c r="U34">
        <v>1.946036119</v>
      </c>
      <c r="V34" t="s">
        <v>31</v>
      </c>
      <c r="W34" t="s">
        <v>48</v>
      </c>
      <c r="X34">
        <v>761.1739095</v>
      </c>
      <c r="Z34" t="s">
        <v>33</v>
      </c>
      <c r="AA34">
        <v>29.69246715</v>
      </c>
      <c r="AB34">
        <v>737</v>
      </c>
    </row>
    <row r="35" spans="1:28">
      <c r="A35" t="s">
        <v>57</v>
      </c>
      <c r="B35" t="s">
        <v>87</v>
      </c>
      <c r="C35">
        <v>64.795435</v>
      </c>
      <c r="D35">
        <v>63</v>
      </c>
      <c r="E35">
        <v>616</v>
      </c>
      <c r="F35">
        <v>5149.99835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3.541046012</v>
      </c>
      <c r="V35" t="s">
        <v>56</v>
      </c>
      <c r="W35" t="s">
        <v>48</v>
      </c>
      <c r="X35">
        <v>371.2552955</v>
      </c>
      <c r="Z35" t="s">
        <v>57</v>
      </c>
      <c r="AA35">
        <v>23.85342751</v>
      </c>
      <c r="AB35">
        <v>251</v>
      </c>
    </row>
    <row r="36" spans="1:28">
      <c r="A36" t="s">
        <v>33</v>
      </c>
      <c r="B36" t="s">
        <v>88</v>
      </c>
      <c r="C36">
        <v>37.46759233</v>
      </c>
      <c r="D36">
        <v>96</v>
      </c>
      <c r="E36">
        <v>602</v>
      </c>
      <c r="F36">
        <v>9061.710896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</v>
      </c>
      <c r="T36" t="s">
        <v>64</v>
      </c>
      <c r="U36">
        <v>0.646604559</v>
      </c>
      <c r="V36" t="s">
        <v>31</v>
      </c>
      <c r="W36" t="s">
        <v>32</v>
      </c>
      <c r="X36">
        <v>510.3580004</v>
      </c>
      <c r="Z36" t="s">
        <v>33</v>
      </c>
      <c r="AA36">
        <v>10.75427282</v>
      </c>
      <c r="AB36">
        <v>452</v>
      </c>
    </row>
    <row r="37" spans="1:28">
      <c r="A37" t="s">
        <v>57</v>
      </c>
      <c r="B37" t="s">
        <v>89</v>
      </c>
      <c r="C37">
        <v>84.95778682</v>
      </c>
      <c r="D37">
        <v>11</v>
      </c>
      <c r="E37">
        <v>449</v>
      </c>
      <c r="F37">
        <v>6541.329345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</v>
      </c>
      <c r="T37" t="s">
        <v>64</v>
      </c>
      <c r="U37">
        <v>0.541154098</v>
      </c>
      <c r="V37" t="s">
        <v>56</v>
      </c>
      <c r="W37" t="s">
        <v>41</v>
      </c>
      <c r="X37">
        <v>553.4204712</v>
      </c>
      <c r="Z37" t="s">
        <v>57</v>
      </c>
      <c r="AA37">
        <v>58.00478704</v>
      </c>
      <c r="AB37">
        <v>367</v>
      </c>
    </row>
    <row r="38" spans="1:28">
      <c r="A38" t="s">
        <v>33</v>
      </c>
      <c r="B38" t="s">
        <v>90</v>
      </c>
      <c r="C38">
        <v>9.813002579</v>
      </c>
      <c r="D38">
        <v>34</v>
      </c>
      <c r="E38">
        <v>963</v>
      </c>
      <c r="F38">
        <v>7573.402458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</v>
      </c>
      <c r="T38" t="s">
        <v>46</v>
      </c>
      <c r="U38">
        <v>3.805533379</v>
      </c>
      <c r="V38" t="s">
        <v>40</v>
      </c>
      <c r="W38" t="s">
        <v>41</v>
      </c>
      <c r="X38">
        <v>403.8089742</v>
      </c>
      <c r="Z38" t="s">
        <v>33</v>
      </c>
      <c r="AA38">
        <v>45.53136424</v>
      </c>
      <c r="AB38">
        <v>671</v>
      </c>
    </row>
    <row r="39" spans="1:28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1.532655274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34.34327747</v>
      </c>
      <c r="T39" t="s">
        <v>30</v>
      </c>
      <c r="U39">
        <v>2.610288085</v>
      </c>
      <c r="V39" t="s">
        <v>56</v>
      </c>
      <c r="W39" t="s">
        <v>48</v>
      </c>
      <c r="X39">
        <v>183.932968</v>
      </c>
      <c r="Z39" t="s">
        <v>33</v>
      </c>
      <c r="AA39">
        <v>34.34327747</v>
      </c>
      <c r="AB39">
        <v>867</v>
      </c>
    </row>
    <row r="40" spans="1:28">
      <c r="A40" t="s">
        <v>57</v>
      </c>
      <c r="B40" t="s">
        <v>92</v>
      </c>
      <c r="C40">
        <v>52.07593068</v>
      </c>
      <c r="D40">
        <v>75</v>
      </c>
      <c r="E40">
        <v>705</v>
      </c>
      <c r="F40">
        <v>9692.31804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5.930693646</v>
      </c>
      <c r="T40" t="s">
        <v>30</v>
      </c>
      <c r="U40">
        <v>0.613326899</v>
      </c>
      <c r="V40" t="s">
        <v>40</v>
      </c>
      <c r="W40" t="s">
        <v>32</v>
      </c>
      <c r="X40">
        <v>339.6728699</v>
      </c>
      <c r="Z40" t="s">
        <v>57</v>
      </c>
      <c r="AA40">
        <v>5.930693646</v>
      </c>
      <c r="AB40">
        <v>841</v>
      </c>
    </row>
    <row r="41" spans="1:28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1912.465663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</v>
      </c>
      <c r="T41" t="s">
        <v>46</v>
      </c>
      <c r="U41">
        <v>1.451972204</v>
      </c>
      <c r="V41" t="s">
        <v>40</v>
      </c>
      <c r="W41" t="s">
        <v>32</v>
      </c>
      <c r="X41">
        <v>653.6729946</v>
      </c>
      <c r="Z41" t="s">
        <v>33</v>
      </c>
      <c r="AA41">
        <v>9.005807429</v>
      </c>
      <c r="AB41">
        <v>791</v>
      </c>
    </row>
    <row r="42" spans="1:28">
      <c r="A42" t="s">
        <v>33</v>
      </c>
      <c r="B42" t="s">
        <v>94</v>
      </c>
      <c r="C42">
        <v>80.54142417</v>
      </c>
      <c r="D42">
        <v>97</v>
      </c>
      <c r="E42">
        <v>933</v>
      </c>
      <c r="F42">
        <v>5724.95935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7.22959514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</v>
      </c>
      <c r="T42" t="s">
        <v>30</v>
      </c>
      <c r="U42">
        <v>4.213269431</v>
      </c>
      <c r="V42" t="s">
        <v>31</v>
      </c>
      <c r="W42" t="s">
        <v>48</v>
      </c>
      <c r="X42">
        <v>529.808724</v>
      </c>
      <c r="Z42" t="s">
        <v>33</v>
      </c>
      <c r="AA42">
        <v>88.1794071</v>
      </c>
      <c r="AB42">
        <v>793</v>
      </c>
    </row>
    <row r="43" spans="1:28">
      <c r="A43" t="s">
        <v>33</v>
      </c>
      <c r="B43" t="s">
        <v>95</v>
      </c>
      <c r="C43">
        <v>99.11329162</v>
      </c>
      <c r="D43">
        <v>35</v>
      </c>
      <c r="E43">
        <v>556</v>
      </c>
      <c r="F43">
        <v>5521.205259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95.33206455</v>
      </c>
      <c r="T43" t="s">
        <v>46</v>
      </c>
      <c r="U43">
        <v>0.045302262</v>
      </c>
      <c r="V43" t="s">
        <v>56</v>
      </c>
      <c r="W43" t="s">
        <v>48</v>
      </c>
      <c r="X43">
        <v>275.5243711</v>
      </c>
      <c r="Z43" t="s">
        <v>33</v>
      </c>
      <c r="AA43">
        <v>95.33206455</v>
      </c>
      <c r="AB43">
        <v>892</v>
      </c>
    </row>
    <row r="44" spans="1:28">
      <c r="A44" t="s">
        <v>33</v>
      </c>
      <c r="B44" t="s">
        <v>96</v>
      </c>
      <c r="C44">
        <v>46.52916761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96.42282064</v>
      </c>
      <c r="T44" t="s">
        <v>46</v>
      </c>
      <c r="U44">
        <v>4.939255289</v>
      </c>
      <c r="V44" t="s">
        <v>31</v>
      </c>
      <c r="W44" t="s">
        <v>48</v>
      </c>
      <c r="X44">
        <v>635.6571205</v>
      </c>
      <c r="Z44" t="s">
        <v>33</v>
      </c>
      <c r="AA44">
        <v>96.42282064</v>
      </c>
      <c r="AB44">
        <v>179</v>
      </c>
    </row>
    <row r="45" spans="1:28">
      <c r="A45" t="s">
        <v>24</v>
      </c>
      <c r="B45" t="s">
        <v>97</v>
      </c>
      <c r="C45">
        <v>11.74327178</v>
      </c>
      <c r="D45">
        <v>6</v>
      </c>
      <c r="E45">
        <v>598</v>
      </c>
      <c r="F45">
        <v>5737.425599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</v>
      </c>
      <c r="T45" t="s">
        <v>30</v>
      </c>
      <c r="U45">
        <v>0.372304768</v>
      </c>
      <c r="V45" t="s">
        <v>40</v>
      </c>
      <c r="W45" t="s">
        <v>48</v>
      </c>
      <c r="X45">
        <v>716.0441198</v>
      </c>
      <c r="Z45" t="s">
        <v>24</v>
      </c>
      <c r="AA45">
        <v>26.27736596</v>
      </c>
      <c r="AB45">
        <v>206</v>
      </c>
    </row>
    <row r="46" spans="1:28">
      <c r="A46" t="s">
        <v>57</v>
      </c>
      <c r="B46" t="s">
        <v>98</v>
      </c>
      <c r="C46">
        <v>51.35579091</v>
      </c>
      <c r="D46">
        <v>34</v>
      </c>
      <c r="E46">
        <v>919</v>
      </c>
      <c r="F46">
        <v>7152.286049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  <c r="Z46" t="s">
        <v>57</v>
      </c>
      <c r="AA46">
        <v>22.55410662</v>
      </c>
      <c r="AB46">
        <v>834</v>
      </c>
    </row>
    <row r="47" spans="1:28">
      <c r="A47" t="s">
        <v>24</v>
      </c>
      <c r="B47" t="s">
        <v>99</v>
      </c>
      <c r="C47">
        <v>33.78413803</v>
      </c>
      <c r="D47">
        <v>1</v>
      </c>
      <c r="E47">
        <v>24</v>
      </c>
      <c r="F47">
        <v>5267.956808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66.31254444</v>
      </c>
      <c r="T47" t="s">
        <v>64</v>
      </c>
      <c r="U47">
        <v>3.219604612</v>
      </c>
      <c r="V47" t="s">
        <v>47</v>
      </c>
      <c r="W47" t="s">
        <v>48</v>
      </c>
      <c r="X47">
        <v>495.305697</v>
      </c>
      <c r="Z47" t="s">
        <v>24</v>
      </c>
      <c r="AA47">
        <v>66.31254444</v>
      </c>
      <c r="AB47">
        <v>794</v>
      </c>
    </row>
    <row r="48" spans="1:28">
      <c r="A48" t="s">
        <v>24</v>
      </c>
      <c r="B48" t="s">
        <v>100</v>
      </c>
      <c r="C48">
        <v>27.0822072</v>
      </c>
      <c r="D48">
        <v>75</v>
      </c>
      <c r="E48">
        <v>859</v>
      </c>
      <c r="F48">
        <v>2556.767361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</v>
      </c>
      <c r="T48" t="s">
        <v>30</v>
      </c>
      <c r="U48">
        <v>3.648610593</v>
      </c>
      <c r="V48" t="s">
        <v>31</v>
      </c>
      <c r="W48" t="s">
        <v>32</v>
      </c>
      <c r="X48">
        <v>380.4359371</v>
      </c>
      <c r="Z48" t="s">
        <v>24</v>
      </c>
      <c r="AA48">
        <v>77.32235321</v>
      </c>
      <c r="AB48">
        <v>870</v>
      </c>
    </row>
    <row r="49" spans="1:28">
      <c r="A49" t="s">
        <v>33</v>
      </c>
      <c r="B49" t="s">
        <v>101</v>
      </c>
      <c r="C49">
        <v>95.71213588</v>
      </c>
      <c r="D49">
        <v>93</v>
      </c>
      <c r="E49">
        <v>910</v>
      </c>
      <c r="F49">
        <v>7089.47425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</v>
      </c>
      <c r="T49" t="s">
        <v>30</v>
      </c>
      <c r="U49">
        <v>0.380573587</v>
      </c>
      <c r="V49" t="s">
        <v>47</v>
      </c>
      <c r="W49" t="s">
        <v>48</v>
      </c>
      <c r="X49">
        <v>581.6023551</v>
      </c>
      <c r="Z49" t="s">
        <v>33</v>
      </c>
      <c r="AA49">
        <v>19.71299291</v>
      </c>
      <c r="AB49">
        <v>964</v>
      </c>
    </row>
    <row r="50" spans="1:28">
      <c r="A50" t="s">
        <v>24</v>
      </c>
      <c r="B50" t="s">
        <v>102</v>
      </c>
      <c r="C50">
        <v>76.03554443</v>
      </c>
      <c r="D50">
        <v>28</v>
      </c>
      <c r="E50">
        <v>29</v>
      </c>
      <c r="F50">
        <v>7397.071005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</v>
      </c>
      <c r="Z50" t="s">
        <v>24</v>
      </c>
      <c r="AA50">
        <v>23.12636358</v>
      </c>
      <c r="AB50">
        <v>109</v>
      </c>
    </row>
    <row r="51" spans="1:28">
      <c r="A51" t="s">
        <v>57</v>
      </c>
      <c r="B51" t="s">
        <v>103</v>
      </c>
      <c r="C51">
        <v>78.89791321</v>
      </c>
      <c r="D51">
        <v>19</v>
      </c>
      <c r="E51">
        <v>99</v>
      </c>
      <c r="F51">
        <v>8001.613207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2.825813985</v>
      </c>
      <c r="V51" t="s">
        <v>47</v>
      </c>
      <c r="W51" t="s">
        <v>48</v>
      </c>
      <c r="X51">
        <v>336.8901685</v>
      </c>
      <c r="Z51" t="s">
        <v>57</v>
      </c>
      <c r="AA51">
        <v>14.14781544</v>
      </c>
      <c r="AB51">
        <v>177</v>
      </c>
    </row>
    <row r="52" spans="1:28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</v>
      </c>
      <c r="T52" t="s">
        <v>46</v>
      </c>
      <c r="U52">
        <v>4.754800805</v>
      </c>
      <c r="V52" t="s">
        <v>47</v>
      </c>
      <c r="W52" t="s">
        <v>32</v>
      </c>
      <c r="X52">
        <v>496.2486503</v>
      </c>
      <c r="Z52" t="s">
        <v>57</v>
      </c>
      <c r="AA52">
        <v>45.17875792</v>
      </c>
      <c r="AB52">
        <v>306</v>
      </c>
    </row>
    <row r="53" spans="1:28">
      <c r="A53" t="s">
        <v>24</v>
      </c>
      <c r="B53" t="s">
        <v>105</v>
      </c>
      <c r="C53">
        <v>26.70076097</v>
      </c>
      <c r="D53">
        <v>61</v>
      </c>
      <c r="E53">
        <v>154</v>
      </c>
      <c r="F53">
        <v>9866.465458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</v>
      </c>
      <c r="T53" t="s">
        <v>30</v>
      </c>
      <c r="U53">
        <v>1.772951172</v>
      </c>
      <c r="V53" t="s">
        <v>31</v>
      </c>
      <c r="W53" t="s">
        <v>48</v>
      </c>
      <c r="X53">
        <v>694.9823176</v>
      </c>
      <c r="Z53" t="s">
        <v>24</v>
      </c>
      <c r="AA53">
        <v>14.19032834</v>
      </c>
      <c r="AB53">
        <v>673</v>
      </c>
    </row>
    <row r="54" spans="1:28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9435.762609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8.63105218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</v>
      </c>
      <c r="T54" t="s">
        <v>30</v>
      </c>
      <c r="U54">
        <v>2.122471619</v>
      </c>
      <c r="V54" t="s">
        <v>40</v>
      </c>
      <c r="W54" t="s">
        <v>41</v>
      </c>
      <c r="X54">
        <v>602.8984988</v>
      </c>
      <c r="Z54" t="s">
        <v>33</v>
      </c>
      <c r="AA54">
        <v>9.166849149</v>
      </c>
      <c r="AB54">
        <v>727</v>
      </c>
    </row>
    <row r="55" spans="1:28">
      <c r="A55" t="s">
        <v>33</v>
      </c>
      <c r="B55" t="s">
        <v>107</v>
      </c>
      <c r="C55">
        <v>30.34147071</v>
      </c>
      <c r="D55">
        <v>93</v>
      </c>
      <c r="E55">
        <v>242</v>
      </c>
      <c r="F55">
        <v>8232.334829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</v>
      </c>
      <c r="T55" t="s">
        <v>30</v>
      </c>
      <c r="U55">
        <v>1.410347576</v>
      </c>
      <c r="V55" t="s">
        <v>40</v>
      </c>
      <c r="W55" t="s">
        <v>32</v>
      </c>
      <c r="X55">
        <v>750.7378407</v>
      </c>
      <c r="Z55" t="s">
        <v>33</v>
      </c>
      <c r="AA55">
        <v>83.34405899</v>
      </c>
      <c r="AB55">
        <v>631</v>
      </c>
    </row>
    <row r="56" spans="1:28">
      <c r="A56" t="s">
        <v>24</v>
      </c>
      <c r="B56" t="s">
        <v>108</v>
      </c>
      <c r="C56">
        <v>31.14624316</v>
      </c>
      <c r="D56">
        <v>11</v>
      </c>
      <c r="E56">
        <v>622</v>
      </c>
      <c r="F56">
        <v>6088.02148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</v>
      </c>
      <c r="T56" t="s">
        <v>64</v>
      </c>
      <c r="U56">
        <v>2.478771976</v>
      </c>
      <c r="V56" t="s">
        <v>31</v>
      </c>
      <c r="W56" t="s">
        <v>32</v>
      </c>
      <c r="X56">
        <v>814.0699966</v>
      </c>
      <c r="Z56" t="s">
        <v>24</v>
      </c>
      <c r="AA56">
        <v>30.18602338</v>
      </c>
      <c r="AB56">
        <v>497</v>
      </c>
    </row>
    <row r="57" spans="1:28">
      <c r="A57" t="s">
        <v>24</v>
      </c>
      <c r="B57" t="s">
        <v>109</v>
      </c>
      <c r="C57">
        <v>79.85505834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</v>
      </c>
      <c r="V57" t="s">
        <v>56</v>
      </c>
      <c r="W57" t="s">
        <v>32</v>
      </c>
      <c r="X57">
        <v>323.012928</v>
      </c>
      <c r="Z57" t="s">
        <v>24</v>
      </c>
      <c r="AA57">
        <v>30.32354526</v>
      </c>
      <c r="AB57">
        <v>918</v>
      </c>
    </row>
    <row r="58" spans="1:28">
      <c r="A58" t="s">
        <v>33</v>
      </c>
      <c r="B58" t="s">
        <v>110</v>
      </c>
      <c r="C58">
        <v>20.98638604</v>
      </c>
      <c r="D58">
        <v>90</v>
      </c>
      <c r="E58">
        <v>93</v>
      </c>
      <c r="F58">
        <v>4767.020484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</v>
      </c>
      <c r="Z58" t="s">
        <v>33</v>
      </c>
      <c r="AA58">
        <v>12.83628457</v>
      </c>
      <c r="AB58">
        <v>826</v>
      </c>
    </row>
    <row r="59" spans="1:28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67.77962299</v>
      </c>
      <c r="T59" t="s">
        <v>30</v>
      </c>
      <c r="U59">
        <v>2.51117483</v>
      </c>
      <c r="V59" t="s">
        <v>47</v>
      </c>
      <c r="W59" t="s">
        <v>48</v>
      </c>
      <c r="X59">
        <v>482.1912386</v>
      </c>
      <c r="Z59" t="s">
        <v>24</v>
      </c>
      <c r="AA59">
        <v>67.77962299</v>
      </c>
      <c r="AB59">
        <v>588</v>
      </c>
    </row>
    <row r="60" spans="1:28">
      <c r="A60" t="s">
        <v>33</v>
      </c>
      <c r="B60" t="s">
        <v>112</v>
      </c>
      <c r="C60">
        <v>59.84156138</v>
      </c>
      <c r="D60">
        <v>81</v>
      </c>
      <c r="E60">
        <v>896</v>
      </c>
      <c r="F60">
        <v>2021.14981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</v>
      </c>
      <c r="T60" t="s">
        <v>46</v>
      </c>
      <c r="U60">
        <v>1.73037472</v>
      </c>
      <c r="V60" t="s">
        <v>31</v>
      </c>
      <c r="W60" t="s">
        <v>32</v>
      </c>
      <c r="X60">
        <v>110.3643352</v>
      </c>
      <c r="Z60" t="s">
        <v>33</v>
      </c>
      <c r="AA60">
        <v>65.04741509</v>
      </c>
      <c r="AB60">
        <v>396</v>
      </c>
    </row>
    <row r="61" spans="1:28">
      <c r="A61" t="s">
        <v>57</v>
      </c>
      <c r="B61" t="s">
        <v>113</v>
      </c>
      <c r="C61">
        <v>63.82839835</v>
      </c>
      <c r="D61">
        <v>30</v>
      </c>
      <c r="E61">
        <v>484</v>
      </c>
      <c r="F61">
        <v>1061.618523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</v>
      </c>
      <c r="Z61" t="s">
        <v>57</v>
      </c>
      <c r="AA61">
        <v>1.900762244</v>
      </c>
      <c r="AB61">
        <v>176</v>
      </c>
    </row>
    <row r="62" spans="1:28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8864.08435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</v>
      </c>
      <c r="T62" t="s">
        <v>46</v>
      </c>
      <c r="U62">
        <v>2.853090617</v>
      </c>
      <c r="V62" t="s">
        <v>47</v>
      </c>
      <c r="W62" t="s">
        <v>48</v>
      </c>
      <c r="X62">
        <v>430.169097</v>
      </c>
      <c r="Z62" t="s">
        <v>33</v>
      </c>
      <c r="AA62">
        <v>87.21305782</v>
      </c>
      <c r="AB62">
        <v>929</v>
      </c>
    </row>
    <row r="63" spans="1:28">
      <c r="A63" t="s">
        <v>24</v>
      </c>
      <c r="B63" t="s">
        <v>115</v>
      </c>
      <c r="C63">
        <v>52.0287499</v>
      </c>
      <c r="D63">
        <v>23</v>
      </c>
      <c r="E63">
        <v>117</v>
      </c>
      <c r="F63">
        <v>6885.589351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</v>
      </c>
      <c r="T63" t="s">
        <v>46</v>
      </c>
      <c r="U63">
        <v>4.367470538</v>
      </c>
      <c r="V63" t="s">
        <v>40</v>
      </c>
      <c r="W63" t="s">
        <v>48</v>
      </c>
      <c r="X63">
        <v>164.3665282</v>
      </c>
      <c r="Z63" t="s">
        <v>24</v>
      </c>
      <c r="AA63">
        <v>78.70239397</v>
      </c>
      <c r="AB63">
        <v>480</v>
      </c>
    </row>
    <row r="64" spans="1:28">
      <c r="A64" t="s">
        <v>57</v>
      </c>
      <c r="B64" t="s">
        <v>116</v>
      </c>
      <c r="C64">
        <v>72.79635396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</v>
      </c>
      <c r="T64" t="s">
        <v>64</v>
      </c>
      <c r="U64">
        <v>1.874001404</v>
      </c>
      <c r="V64" t="s">
        <v>56</v>
      </c>
      <c r="W64" t="s">
        <v>41</v>
      </c>
      <c r="X64">
        <v>320.8465158</v>
      </c>
      <c r="Z64" t="s">
        <v>57</v>
      </c>
      <c r="AA64">
        <v>21.04864273</v>
      </c>
      <c r="AB64">
        <v>751</v>
      </c>
    </row>
    <row r="65" spans="1:28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2.457933528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</v>
      </c>
      <c r="T65" t="s">
        <v>30</v>
      </c>
      <c r="U65">
        <v>3.63284329</v>
      </c>
      <c r="V65" t="s">
        <v>56</v>
      </c>
      <c r="W65" t="s">
        <v>48</v>
      </c>
      <c r="X65">
        <v>687.2861779</v>
      </c>
      <c r="Z65" t="s">
        <v>33</v>
      </c>
      <c r="AA65">
        <v>20.07500398</v>
      </c>
      <c r="AB65">
        <v>736</v>
      </c>
    </row>
    <row r="66" spans="1:28">
      <c r="A66" t="s">
        <v>33</v>
      </c>
      <c r="B66" t="s">
        <v>118</v>
      </c>
      <c r="C66">
        <v>89.63409561</v>
      </c>
      <c r="D66">
        <v>11</v>
      </c>
      <c r="E66">
        <v>134</v>
      </c>
      <c r="F66">
        <v>8458.730878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8.693042426</v>
      </c>
      <c r="T66" t="s">
        <v>46</v>
      </c>
      <c r="U66">
        <v>0.159486315</v>
      </c>
      <c r="V66" t="s">
        <v>40</v>
      </c>
      <c r="W66" t="s">
        <v>41</v>
      </c>
      <c r="X66">
        <v>771.2250847</v>
      </c>
      <c r="Z66" t="s">
        <v>33</v>
      </c>
      <c r="AA66">
        <v>8.693042426</v>
      </c>
      <c r="AB66">
        <v>328</v>
      </c>
    </row>
    <row r="67" spans="1:28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8354.579686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</v>
      </c>
      <c r="T67" t="s">
        <v>46</v>
      </c>
      <c r="U67">
        <v>4.911095955</v>
      </c>
      <c r="V67" t="s">
        <v>47</v>
      </c>
      <c r="W67" t="s">
        <v>41</v>
      </c>
      <c r="X67">
        <v>555.8591037</v>
      </c>
      <c r="Z67" t="s">
        <v>33</v>
      </c>
      <c r="AA67">
        <v>1.597222743</v>
      </c>
      <c r="AB67">
        <v>358</v>
      </c>
    </row>
    <row r="68" spans="1:28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8367.721618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</v>
      </c>
      <c r="T68" t="s">
        <v>46</v>
      </c>
      <c r="U68">
        <v>3.448063288</v>
      </c>
      <c r="V68" t="s">
        <v>31</v>
      </c>
      <c r="W68" t="s">
        <v>48</v>
      </c>
      <c r="X68">
        <v>393.8433486</v>
      </c>
      <c r="Z68" t="s">
        <v>33</v>
      </c>
      <c r="AA68">
        <v>42.08443674</v>
      </c>
      <c r="AB68">
        <v>867</v>
      </c>
    </row>
    <row r="69" spans="1:28">
      <c r="A69" t="s">
        <v>33</v>
      </c>
      <c r="B69" t="s">
        <v>121</v>
      </c>
      <c r="C69">
        <v>87.75543235</v>
      </c>
      <c r="D69">
        <v>16</v>
      </c>
      <c r="E69">
        <v>513</v>
      </c>
      <c r="F69">
        <v>9473.798033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9.147811545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</v>
      </c>
      <c r="V69" t="s">
        <v>56</v>
      </c>
      <c r="W69" t="s">
        <v>41</v>
      </c>
      <c r="X69">
        <v>169.2718014</v>
      </c>
      <c r="Z69" t="s">
        <v>33</v>
      </c>
      <c r="AA69">
        <v>7.057876147</v>
      </c>
      <c r="AB69">
        <v>198</v>
      </c>
    </row>
    <row r="70" spans="1:28">
      <c r="A70" t="s">
        <v>24</v>
      </c>
      <c r="B70" t="s">
        <v>122</v>
      </c>
      <c r="C70">
        <v>37.93181238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</v>
      </c>
      <c r="V70" t="s">
        <v>47</v>
      </c>
      <c r="W70" t="s">
        <v>48</v>
      </c>
      <c r="X70">
        <v>299.7063031</v>
      </c>
      <c r="Z70" t="s">
        <v>24</v>
      </c>
      <c r="AA70">
        <v>97.11358156</v>
      </c>
      <c r="AB70">
        <v>375</v>
      </c>
    </row>
    <row r="71" spans="1:28">
      <c r="A71" t="s">
        <v>33</v>
      </c>
      <c r="B71" t="s">
        <v>123</v>
      </c>
      <c r="C71">
        <v>54.86552852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1.362387989</v>
      </c>
      <c r="V71" t="s">
        <v>40</v>
      </c>
      <c r="W71" t="s">
        <v>48</v>
      </c>
      <c r="X71">
        <v>207.6632062</v>
      </c>
      <c r="Z71" t="s">
        <v>33</v>
      </c>
      <c r="AA71">
        <v>77.62776581</v>
      </c>
      <c r="AB71">
        <v>862</v>
      </c>
    </row>
    <row r="72" spans="1:28">
      <c r="A72" t="s">
        <v>24</v>
      </c>
      <c r="B72" t="s">
        <v>124</v>
      </c>
      <c r="C72">
        <v>47.91454182</v>
      </c>
      <c r="D72">
        <v>90</v>
      </c>
      <c r="E72">
        <v>32</v>
      </c>
      <c r="F72">
        <v>7014.887987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6.315717755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</v>
      </c>
      <c r="V72" t="s">
        <v>31</v>
      </c>
      <c r="W72" t="s">
        <v>41</v>
      </c>
      <c r="X72">
        <v>183.2728987</v>
      </c>
      <c r="Z72" t="s">
        <v>24</v>
      </c>
      <c r="AA72">
        <v>11.44078182</v>
      </c>
      <c r="AB72">
        <v>775</v>
      </c>
    </row>
    <row r="73" spans="1:28">
      <c r="A73" t="s">
        <v>57</v>
      </c>
      <c r="B73" t="s">
        <v>125</v>
      </c>
      <c r="C73">
        <v>6.381533163</v>
      </c>
      <c r="D73">
        <v>14</v>
      </c>
      <c r="E73">
        <v>637</v>
      </c>
      <c r="F73">
        <v>8180.337085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</v>
      </c>
      <c r="T73" t="s">
        <v>30</v>
      </c>
      <c r="U73">
        <v>2.078750608</v>
      </c>
      <c r="V73" t="s">
        <v>31</v>
      </c>
      <c r="W73" t="s">
        <v>48</v>
      </c>
      <c r="X73">
        <v>405.1670679</v>
      </c>
      <c r="Z73" t="s">
        <v>57</v>
      </c>
      <c r="AA73">
        <v>30.66167748</v>
      </c>
      <c r="AB73">
        <v>258</v>
      </c>
    </row>
    <row r="74" spans="1:28">
      <c r="A74" t="s">
        <v>57</v>
      </c>
      <c r="B74" t="s">
        <v>126</v>
      </c>
      <c r="C74">
        <v>90.20442752</v>
      </c>
      <c r="D74">
        <v>88</v>
      </c>
      <c r="E74">
        <v>478</v>
      </c>
      <c r="F74">
        <v>2633.121981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6.59961416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</v>
      </c>
      <c r="T74" t="s">
        <v>30</v>
      </c>
      <c r="U74">
        <v>3.213329607</v>
      </c>
      <c r="V74" t="s">
        <v>47</v>
      </c>
      <c r="W74" t="s">
        <v>32</v>
      </c>
      <c r="X74">
        <v>677.9445698</v>
      </c>
      <c r="Z74" t="s">
        <v>57</v>
      </c>
      <c r="AA74">
        <v>55.7604929</v>
      </c>
      <c r="AB74">
        <v>152</v>
      </c>
    </row>
    <row r="75" spans="1:28">
      <c r="A75" t="s">
        <v>57</v>
      </c>
      <c r="B75" t="s">
        <v>127</v>
      </c>
      <c r="C75">
        <v>83.85101768</v>
      </c>
      <c r="D75">
        <v>41</v>
      </c>
      <c r="E75">
        <v>375</v>
      </c>
      <c r="F75">
        <v>7910.886916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</v>
      </c>
      <c r="T75" t="s">
        <v>46</v>
      </c>
      <c r="U75">
        <v>4.620546065</v>
      </c>
      <c r="V75" t="s">
        <v>31</v>
      </c>
      <c r="W75" t="s">
        <v>48</v>
      </c>
      <c r="X75">
        <v>866.4728001</v>
      </c>
      <c r="Z75" t="s">
        <v>57</v>
      </c>
      <c r="AA75">
        <v>46.8702388</v>
      </c>
      <c r="AB75">
        <v>444</v>
      </c>
    </row>
    <row r="76" spans="1:28">
      <c r="A76" t="s">
        <v>24</v>
      </c>
      <c r="B76" t="s">
        <v>128</v>
      </c>
      <c r="C76">
        <v>3.170011414</v>
      </c>
      <c r="D76">
        <v>64</v>
      </c>
      <c r="E76">
        <v>904</v>
      </c>
      <c r="F76">
        <v>5709.945296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</v>
      </c>
      <c r="T76" t="s">
        <v>46</v>
      </c>
      <c r="U76">
        <v>0.396612724</v>
      </c>
      <c r="V76" t="s">
        <v>47</v>
      </c>
      <c r="W76" t="s">
        <v>48</v>
      </c>
      <c r="X76">
        <v>341.5526568</v>
      </c>
      <c r="Z76" t="s">
        <v>24</v>
      </c>
      <c r="AA76">
        <v>80.58085216</v>
      </c>
      <c r="AB76">
        <v>919</v>
      </c>
    </row>
    <row r="77" spans="1:28">
      <c r="A77" t="s">
        <v>33</v>
      </c>
      <c r="B77" t="s">
        <v>129</v>
      </c>
      <c r="C77">
        <v>92.99688423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</v>
      </c>
      <c r="T77" t="s">
        <v>64</v>
      </c>
      <c r="U77">
        <v>2.030069089</v>
      </c>
      <c r="V77" t="s">
        <v>40</v>
      </c>
      <c r="W77" t="s">
        <v>41</v>
      </c>
      <c r="X77">
        <v>873.129648</v>
      </c>
      <c r="Z77" t="s">
        <v>33</v>
      </c>
      <c r="AA77">
        <v>48.06478264</v>
      </c>
      <c r="AB77">
        <v>759</v>
      </c>
    </row>
    <row r="78" spans="1:28">
      <c r="A78" t="s">
        <v>24</v>
      </c>
      <c r="B78" t="s">
        <v>130</v>
      </c>
      <c r="C78">
        <v>69.10879955</v>
      </c>
      <c r="D78">
        <v>23</v>
      </c>
      <c r="E78">
        <v>241</v>
      </c>
      <c r="F78">
        <v>5328.375984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</v>
      </c>
      <c r="T78" t="s">
        <v>30</v>
      </c>
      <c r="U78">
        <v>2.180037452</v>
      </c>
      <c r="V78" t="s">
        <v>47</v>
      </c>
      <c r="W78" t="s">
        <v>48</v>
      </c>
      <c r="X78">
        <v>997.4134501</v>
      </c>
      <c r="Z78" t="s">
        <v>24</v>
      </c>
      <c r="AA78">
        <v>64.3235978</v>
      </c>
      <c r="AB78">
        <v>985</v>
      </c>
    </row>
    <row r="79" spans="1:28">
      <c r="A79" t="s">
        <v>24</v>
      </c>
      <c r="B79" t="s">
        <v>131</v>
      </c>
      <c r="C79">
        <v>57.44974296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42.95244475</v>
      </c>
      <c r="T79" t="s">
        <v>64</v>
      </c>
      <c r="U79">
        <v>3.055141818</v>
      </c>
      <c r="V79" t="s">
        <v>31</v>
      </c>
      <c r="W79" t="s">
        <v>32</v>
      </c>
      <c r="X79">
        <v>852.5680989</v>
      </c>
      <c r="Z79" t="s">
        <v>24</v>
      </c>
      <c r="AA79">
        <v>42.95244475</v>
      </c>
      <c r="AB79">
        <v>334</v>
      </c>
    </row>
    <row r="80" spans="1:28">
      <c r="A80" t="s">
        <v>24</v>
      </c>
      <c r="B80" t="s">
        <v>132</v>
      </c>
      <c r="C80">
        <v>6.306883176</v>
      </c>
      <c r="D80">
        <v>50</v>
      </c>
      <c r="E80">
        <v>946</v>
      </c>
      <c r="F80">
        <v>1292.458418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8.467049771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</v>
      </c>
      <c r="T80" t="s">
        <v>30</v>
      </c>
      <c r="U80">
        <v>4.096881332</v>
      </c>
      <c r="V80" t="s">
        <v>56</v>
      </c>
      <c r="W80" t="s">
        <v>41</v>
      </c>
      <c r="X80">
        <v>323.5922034</v>
      </c>
      <c r="Z80" t="s">
        <v>24</v>
      </c>
      <c r="AA80">
        <v>71.12651472</v>
      </c>
      <c r="AB80">
        <v>858</v>
      </c>
    </row>
    <row r="81" spans="1:28">
      <c r="A81" t="s">
        <v>24</v>
      </c>
      <c r="B81" t="s">
        <v>133</v>
      </c>
      <c r="C81">
        <v>57.05703122</v>
      </c>
      <c r="D81">
        <v>56</v>
      </c>
      <c r="E81">
        <v>198</v>
      </c>
      <c r="F81">
        <v>7888.723268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</v>
      </c>
      <c r="T81" t="s">
        <v>30</v>
      </c>
      <c r="U81">
        <v>0.165871627</v>
      </c>
      <c r="V81" t="s">
        <v>40</v>
      </c>
      <c r="W81" t="s">
        <v>41</v>
      </c>
      <c r="X81">
        <v>351.5042193</v>
      </c>
      <c r="Z81" t="s">
        <v>24</v>
      </c>
      <c r="AA81">
        <v>57.87090292</v>
      </c>
      <c r="AB81">
        <v>228</v>
      </c>
    </row>
    <row r="82" spans="1:28">
      <c r="A82" t="s">
        <v>33</v>
      </c>
      <c r="B82" t="s">
        <v>134</v>
      </c>
      <c r="C82">
        <v>91.12831835</v>
      </c>
      <c r="D82">
        <v>75</v>
      </c>
      <c r="E82">
        <v>872</v>
      </c>
      <c r="F82">
        <v>8651.672683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</v>
      </c>
      <c r="T82" t="s">
        <v>46</v>
      </c>
      <c r="U82">
        <v>2.849662199</v>
      </c>
      <c r="V82" t="s">
        <v>56</v>
      </c>
      <c r="W82" t="s">
        <v>32</v>
      </c>
      <c r="X82">
        <v>787.7798505</v>
      </c>
      <c r="Z82" t="s">
        <v>33</v>
      </c>
      <c r="AA82">
        <v>76.96122802</v>
      </c>
      <c r="AB82">
        <v>202</v>
      </c>
    </row>
    <row r="83" spans="1:28">
      <c r="A83" t="s">
        <v>24</v>
      </c>
      <c r="B83" t="s">
        <v>135</v>
      </c>
      <c r="C83">
        <v>72.81920693</v>
      </c>
      <c r="D83">
        <v>9</v>
      </c>
      <c r="E83">
        <v>774</v>
      </c>
      <c r="F83">
        <v>4384.4134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</v>
      </c>
      <c r="T83" t="s">
        <v>30</v>
      </c>
      <c r="U83">
        <v>2.547547122</v>
      </c>
      <c r="V83" t="s">
        <v>47</v>
      </c>
      <c r="W83" t="s">
        <v>32</v>
      </c>
      <c r="X83">
        <v>276.7783359</v>
      </c>
      <c r="Z83" t="s">
        <v>24</v>
      </c>
      <c r="AA83">
        <v>19.78959294</v>
      </c>
      <c r="AB83">
        <v>698</v>
      </c>
    </row>
    <row r="84" spans="1:28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2943.381868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</v>
      </c>
      <c r="T84" t="s">
        <v>30</v>
      </c>
      <c r="U84">
        <v>4.137877049</v>
      </c>
      <c r="V84" t="s">
        <v>31</v>
      </c>
      <c r="W84" t="s">
        <v>41</v>
      </c>
      <c r="X84">
        <v>589.9785556</v>
      </c>
      <c r="Z84" t="s">
        <v>33</v>
      </c>
      <c r="AA84">
        <v>4.465278435</v>
      </c>
      <c r="AB84">
        <v>955</v>
      </c>
    </row>
    <row r="85" spans="1:28">
      <c r="A85" t="s">
        <v>24</v>
      </c>
      <c r="B85" t="s">
        <v>137</v>
      </c>
      <c r="C85">
        <v>68.91124621</v>
      </c>
      <c r="D85">
        <v>82</v>
      </c>
      <c r="E85">
        <v>663</v>
      </c>
      <c r="F85">
        <v>2411.754632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4.949839578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</v>
      </c>
      <c r="T85" t="s">
        <v>46</v>
      </c>
      <c r="U85">
        <v>0.773006134</v>
      </c>
      <c r="V85" t="s">
        <v>31</v>
      </c>
      <c r="W85" t="s">
        <v>48</v>
      </c>
      <c r="X85">
        <v>682.9710182</v>
      </c>
      <c r="Z85" t="s">
        <v>24</v>
      </c>
      <c r="AA85">
        <v>97.7305938</v>
      </c>
      <c r="AB85">
        <v>443</v>
      </c>
    </row>
    <row r="86" spans="1:28">
      <c r="A86" t="s">
        <v>24</v>
      </c>
      <c r="B86" t="s">
        <v>138</v>
      </c>
      <c r="C86">
        <v>89.10436729</v>
      </c>
      <c r="D86">
        <v>99</v>
      </c>
      <c r="E86">
        <v>618</v>
      </c>
      <c r="F86">
        <v>2048.2901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</v>
      </c>
      <c r="T86" t="s">
        <v>64</v>
      </c>
      <c r="U86">
        <v>4.843456577</v>
      </c>
      <c r="V86" t="s">
        <v>40</v>
      </c>
      <c r="W86" t="s">
        <v>32</v>
      </c>
      <c r="X86">
        <v>465.457006</v>
      </c>
      <c r="Z86" t="s">
        <v>24</v>
      </c>
      <c r="AA86">
        <v>33.80863651</v>
      </c>
      <c r="AB86">
        <v>589</v>
      </c>
    </row>
    <row r="87" spans="1:28">
      <c r="A87" t="s">
        <v>57</v>
      </c>
      <c r="B87" t="s">
        <v>139</v>
      </c>
      <c r="C87">
        <v>76.96299442</v>
      </c>
      <c r="D87">
        <v>83</v>
      </c>
      <c r="E87">
        <v>25</v>
      </c>
      <c r="F87">
        <v>8684.613059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69.92934552</v>
      </c>
      <c r="T87" t="s">
        <v>46</v>
      </c>
      <c r="U87">
        <v>1.374429</v>
      </c>
      <c r="V87" t="s">
        <v>31</v>
      </c>
      <c r="W87" t="s">
        <v>32</v>
      </c>
      <c r="X87">
        <v>842.68683</v>
      </c>
      <c r="Z87" t="s">
        <v>57</v>
      </c>
      <c r="AA87">
        <v>69.92934552</v>
      </c>
      <c r="AB87">
        <v>211</v>
      </c>
    </row>
    <row r="88" spans="1:28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74.60897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  <c r="Z88" t="s">
        <v>33</v>
      </c>
      <c r="AA88">
        <v>74.60897</v>
      </c>
      <c r="AB88">
        <v>569</v>
      </c>
    </row>
    <row r="89" spans="1:28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6.575803798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</v>
      </c>
      <c r="T89" t="s">
        <v>46</v>
      </c>
      <c r="U89">
        <v>3.693737788</v>
      </c>
      <c r="V89" t="s">
        <v>56</v>
      </c>
      <c r="W89" t="s">
        <v>32</v>
      </c>
      <c r="X89">
        <v>879.3592177</v>
      </c>
      <c r="Z89" t="s">
        <v>24</v>
      </c>
      <c r="AA89">
        <v>28.69699682</v>
      </c>
      <c r="AB89">
        <v>523</v>
      </c>
    </row>
    <row r="90" spans="1:28">
      <c r="A90" t="s">
        <v>57</v>
      </c>
      <c r="B90" t="s">
        <v>142</v>
      </c>
      <c r="C90">
        <v>75.27040698</v>
      </c>
      <c r="D90">
        <v>58</v>
      </c>
      <c r="E90">
        <v>737</v>
      </c>
      <c r="F90">
        <v>9444.742033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3.801253133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68.18491906</v>
      </c>
      <c r="T90" t="s">
        <v>30</v>
      </c>
      <c r="U90">
        <v>0.722204402</v>
      </c>
      <c r="V90" t="s">
        <v>56</v>
      </c>
      <c r="W90" t="s">
        <v>48</v>
      </c>
      <c r="X90">
        <v>103.916248</v>
      </c>
      <c r="Z90" t="s">
        <v>57</v>
      </c>
      <c r="AA90">
        <v>68.18491906</v>
      </c>
      <c r="AB90">
        <v>953</v>
      </c>
    </row>
    <row r="91" spans="1:28">
      <c r="A91" t="s">
        <v>57</v>
      </c>
      <c r="B91" t="s">
        <v>143</v>
      </c>
      <c r="C91">
        <v>97.76008558</v>
      </c>
      <c r="D91">
        <v>10</v>
      </c>
      <c r="E91">
        <v>134</v>
      </c>
      <c r="F91">
        <v>5924.682567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</v>
      </c>
      <c r="T91" t="s">
        <v>30</v>
      </c>
      <c r="U91">
        <v>1.907665734</v>
      </c>
      <c r="V91" t="s">
        <v>47</v>
      </c>
      <c r="W91" t="s">
        <v>32</v>
      </c>
      <c r="X91">
        <v>517.4999739</v>
      </c>
      <c r="Z91" t="s">
        <v>57</v>
      </c>
      <c r="AA91">
        <v>46.60387338</v>
      </c>
      <c r="AB91">
        <v>370</v>
      </c>
    </row>
    <row r="92" spans="1:28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85.67596334</v>
      </c>
      <c r="T92" t="s">
        <v>64</v>
      </c>
      <c r="U92">
        <v>1.219382224</v>
      </c>
      <c r="V92" t="s">
        <v>47</v>
      </c>
      <c r="W92" t="s">
        <v>32</v>
      </c>
      <c r="X92">
        <v>990.0784725</v>
      </c>
      <c r="Z92" t="s">
        <v>33</v>
      </c>
      <c r="AA92">
        <v>85.67596334</v>
      </c>
      <c r="AB92">
        <v>585</v>
      </c>
    </row>
    <row r="93" spans="1:28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1935.206794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</v>
      </c>
      <c r="T93" t="s">
        <v>30</v>
      </c>
      <c r="U93">
        <v>0.626001858</v>
      </c>
      <c r="V93" t="s">
        <v>47</v>
      </c>
      <c r="W93" t="s">
        <v>32</v>
      </c>
      <c r="X93">
        <v>996.778315</v>
      </c>
      <c r="Z93" t="s">
        <v>57</v>
      </c>
      <c r="AA93">
        <v>39.7728825</v>
      </c>
      <c r="AB93">
        <v>207</v>
      </c>
    </row>
    <row r="94" spans="1:28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2100.129755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62.6126904</v>
      </c>
      <c r="T94" t="s">
        <v>64</v>
      </c>
      <c r="U94">
        <v>0.333431825</v>
      </c>
      <c r="V94" t="s">
        <v>47</v>
      </c>
      <c r="W94" t="s">
        <v>32</v>
      </c>
      <c r="X94">
        <v>230.0927825</v>
      </c>
      <c r="Z94" t="s">
        <v>57</v>
      </c>
      <c r="AA94">
        <v>62.6126904</v>
      </c>
      <c r="AB94">
        <v>671</v>
      </c>
    </row>
    <row r="95" spans="1:28">
      <c r="A95" t="s">
        <v>24</v>
      </c>
      <c r="B95" t="s">
        <v>147</v>
      </c>
      <c r="C95">
        <v>69.290831</v>
      </c>
      <c r="D95">
        <v>88</v>
      </c>
      <c r="E95">
        <v>114</v>
      </c>
      <c r="F95">
        <v>4531.402134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</v>
      </c>
      <c r="T95" t="s">
        <v>46</v>
      </c>
      <c r="U95">
        <v>4.165781795</v>
      </c>
      <c r="V95" t="s">
        <v>40</v>
      </c>
      <c r="W95" t="s">
        <v>48</v>
      </c>
      <c r="X95">
        <v>823.5238459</v>
      </c>
      <c r="Z95" t="s">
        <v>24</v>
      </c>
      <c r="AA95">
        <v>35.63365234</v>
      </c>
      <c r="AB95">
        <v>824</v>
      </c>
    </row>
    <row r="96" spans="1:28">
      <c r="A96" t="s">
        <v>57</v>
      </c>
      <c r="B96" t="s">
        <v>148</v>
      </c>
      <c r="C96">
        <v>3.037688725</v>
      </c>
      <c r="D96">
        <v>97</v>
      </c>
      <c r="E96">
        <v>987</v>
      </c>
      <c r="F96">
        <v>7888.356547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  <c r="Z96" t="s">
        <v>57</v>
      </c>
      <c r="AA96">
        <v>60.38737861</v>
      </c>
      <c r="AB96">
        <v>908</v>
      </c>
    </row>
    <row r="97" spans="1:28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8.63033887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58.89068577</v>
      </c>
      <c r="T97" t="s">
        <v>30</v>
      </c>
      <c r="U97">
        <v>1.21088213</v>
      </c>
      <c r="V97" t="s">
        <v>40</v>
      </c>
      <c r="W97" t="s">
        <v>48</v>
      </c>
      <c r="X97">
        <v>778.8642414</v>
      </c>
      <c r="Z97" t="s">
        <v>24</v>
      </c>
      <c r="AA97">
        <v>58.89068577</v>
      </c>
      <c r="AB97">
        <v>450</v>
      </c>
    </row>
    <row r="98" spans="1:28">
      <c r="A98" t="s">
        <v>57</v>
      </c>
      <c r="B98" t="s">
        <v>150</v>
      </c>
      <c r="C98">
        <v>24.42313142</v>
      </c>
      <c r="D98">
        <v>29</v>
      </c>
      <c r="E98">
        <v>324</v>
      </c>
      <c r="F98">
        <v>7698.424766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5.352878044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</v>
      </c>
      <c r="T98" t="s">
        <v>30</v>
      </c>
      <c r="U98">
        <v>3.872047681</v>
      </c>
      <c r="V98" t="s">
        <v>31</v>
      </c>
      <c r="W98" t="s">
        <v>48</v>
      </c>
      <c r="X98">
        <v>188.7421411</v>
      </c>
      <c r="Z98" t="s">
        <v>57</v>
      </c>
      <c r="AA98">
        <v>17.80375633</v>
      </c>
      <c r="AB98">
        <v>648</v>
      </c>
    </row>
    <row r="99" spans="1:28">
      <c r="A99" t="s">
        <v>24</v>
      </c>
      <c r="B99" t="s">
        <v>151</v>
      </c>
      <c r="C99">
        <v>3.526111259</v>
      </c>
      <c r="D99">
        <v>56</v>
      </c>
      <c r="E99">
        <v>62</v>
      </c>
      <c r="F99">
        <v>4370.91658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</v>
      </c>
      <c r="T99" t="s">
        <v>46</v>
      </c>
      <c r="U99">
        <v>3.376237835</v>
      </c>
      <c r="V99" t="s">
        <v>31</v>
      </c>
      <c r="W99" t="s">
        <v>48</v>
      </c>
      <c r="X99">
        <v>540.1324229</v>
      </c>
      <c r="Z99" t="s">
        <v>24</v>
      </c>
      <c r="AA99">
        <v>65.76515593</v>
      </c>
      <c r="AB99">
        <v>535</v>
      </c>
    </row>
    <row r="100" spans="1:28">
      <c r="A100" t="s">
        <v>33</v>
      </c>
      <c r="B100" t="s">
        <v>152</v>
      </c>
      <c r="C100">
        <v>19.75460487</v>
      </c>
      <c r="D100">
        <v>43</v>
      </c>
      <c r="E100">
        <v>913</v>
      </c>
      <c r="F100">
        <v>8525.95256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</v>
      </c>
      <c r="T100" t="s">
        <v>30</v>
      </c>
      <c r="U100">
        <v>2.908122169</v>
      </c>
      <c r="V100" t="s">
        <v>47</v>
      </c>
      <c r="W100" t="s">
        <v>48</v>
      </c>
      <c r="X100">
        <v>882.1988635</v>
      </c>
      <c r="Z100" t="s">
        <v>33</v>
      </c>
      <c r="AA100">
        <v>5.604690864</v>
      </c>
      <c r="AB100">
        <v>581</v>
      </c>
    </row>
    <row r="101" spans="1:28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</v>
      </c>
      <c r="T101" t="s">
        <v>46</v>
      </c>
      <c r="U101">
        <v>0.346027291</v>
      </c>
      <c r="V101" t="s">
        <v>47</v>
      </c>
      <c r="W101" t="s">
        <v>32</v>
      </c>
      <c r="X101">
        <v>210.743009</v>
      </c>
      <c r="Z101" t="s">
        <v>24</v>
      </c>
      <c r="AA101">
        <v>38.07289852</v>
      </c>
      <c r="AB101">
        <v>921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G5" sqref="G5"/>
    </sheetView>
  </sheetViews>
  <sheetFormatPr defaultColWidth="9" defaultRowHeight="14.4" outlineLevelCol="4"/>
  <cols>
    <col min="1" max="1" width="13.1388888888889" customWidth="1"/>
    <col min="2" max="2" width="18.287037037037" customWidth="1"/>
    <col min="3" max="3" width="9.85185185185185" customWidth="1"/>
    <col min="4" max="4" width="13.1388888888889" customWidth="1"/>
    <col min="5" max="5" width="31.1388888888889" customWidth="1"/>
    <col min="6" max="6" width="9.85185185185185" customWidth="1"/>
    <col min="7" max="7" width="11.287037037037" customWidth="1"/>
    <col min="8" max="8" width="5.57407407407407" customWidth="1"/>
    <col min="9" max="9" width="11" customWidth="1"/>
    <col min="10" max="10" width="9.57407407407407" customWidth="1"/>
    <col min="11" max="11" width="14.8518518518519" customWidth="1"/>
    <col min="12" max="12" width="11.712962962963" customWidth="1"/>
    <col min="13" max="13" width="5.57407407407407" customWidth="1"/>
    <col min="14" max="14" width="11" customWidth="1"/>
    <col min="15" max="15" width="9.57407407407407" customWidth="1"/>
    <col min="16" max="16" width="14.8518518518519" customWidth="1"/>
    <col min="17" max="17" width="11.712962962963" customWidth="1"/>
    <col min="18" max="18" width="5.57407407407407" customWidth="1"/>
    <col min="19" max="19" width="11" customWidth="1"/>
    <col min="20" max="20" width="9.57407407407407" customWidth="1"/>
    <col min="21" max="21" width="14.8518518518519" customWidth="1"/>
    <col min="22" max="22" width="11.712962962963" customWidth="1"/>
    <col min="23" max="23" width="5.57407407407407" customWidth="1"/>
    <col min="24" max="24" width="11" customWidth="1"/>
    <col min="25" max="25" width="9.57407407407407" customWidth="1"/>
    <col min="26" max="26" width="14.8518518518519" customWidth="1"/>
    <col min="27" max="27" width="11.287037037037" customWidth="1"/>
  </cols>
  <sheetData>
    <row r="3" spans="1:5">
      <c r="A3" t="s">
        <v>154</v>
      </c>
      <c r="B3" t="s">
        <v>155</v>
      </c>
      <c r="D3" t="s">
        <v>154</v>
      </c>
      <c r="E3" t="s">
        <v>156</v>
      </c>
    </row>
    <row r="4" spans="1:5">
      <c r="A4" s="5" t="s">
        <v>39</v>
      </c>
      <c r="B4" s="6">
        <v>1142</v>
      </c>
      <c r="D4" s="5" t="s">
        <v>57</v>
      </c>
      <c r="E4" s="6">
        <v>26</v>
      </c>
    </row>
    <row r="5" spans="1:5">
      <c r="A5" s="5" t="s">
        <v>61</v>
      </c>
      <c r="B5" s="6">
        <v>1022</v>
      </c>
      <c r="D5" s="5" t="s">
        <v>24</v>
      </c>
      <c r="E5" s="6">
        <v>34</v>
      </c>
    </row>
    <row r="6" spans="1:5">
      <c r="A6" s="5" t="s">
        <v>28</v>
      </c>
      <c r="B6" s="6">
        <v>654</v>
      </c>
      <c r="D6" s="5" t="s">
        <v>33</v>
      </c>
      <c r="E6" s="6">
        <v>40</v>
      </c>
    </row>
    <row r="7" spans="1:5">
      <c r="A7" s="5" t="s">
        <v>52</v>
      </c>
      <c r="B7" s="6">
        <v>1061</v>
      </c>
      <c r="D7" s="5" t="s">
        <v>157</v>
      </c>
      <c r="E7" s="6">
        <v>100</v>
      </c>
    </row>
    <row r="8" spans="1:5">
      <c r="A8" s="5" t="s">
        <v>44</v>
      </c>
      <c r="B8" s="6">
        <v>898</v>
      </c>
    </row>
    <row r="9" spans="1:5">
      <c r="A9" s="5" t="s">
        <v>157</v>
      </c>
      <c r="B9" s="6">
        <v>4777</v>
      </c>
    </row>
  </sheetData>
  <pageMargins left="0.7" right="0.7" top="0.75" bottom="0.75" header="0.3" footer="0.3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34" sqref="F34"/>
    </sheetView>
  </sheetViews>
  <sheetFormatPr defaultColWidth="9" defaultRowHeight="14.4" outlineLevelCol="5"/>
  <cols>
    <col min="1" max="1" width="12.287037037037" customWidth="1"/>
    <col min="2" max="3" width="19" customWidth="1"/>
  </cols>
  <sheetData>
    <row r="1" spans="1:6">
      <c r="A1" t="s">
        <v>0</v>
      </c>
      <c r="B1" t="s">
        <v>18</v>
      </c>
      <c r="C1" t="s">
        <v>16</v>
      </c>
    </row>
    <row r="2" spans="1:6">
      <c r="A2" t="s">
        <v>24</v>
      </c>
      <c r="B2">
        <v>46.27987924</v>
      </c>
      <c r="C2">
        <v>215</v>
      </c>
      <c r="E2" t="s">
        <v>158</v>
      </c>
      <c r="F2">
        <f>CORREL(C1:C101,B1:B101)</f>
        <v>0.0515041713313996</v>
      </c>
    </row>
    <row r="3" spans="1:6">
      <c r="A3" t="s">
        <v>33</v>
      </c>
      <c r="B3">
        <v>33.61676895</v>
      </c>
      <c r="C3">
        <v>517</v>
      </c>
    </row>
    <row r="4" spans="1:6">
      <c r="A4" t="s">
        <v>24</v>
      </c>
      <c r="B4">
        <v>30.68801935</v>
      </c>
      <c r="C4">
        <v>971</v>
      </c>
    </row>
    <row r="5" spans="1:6">
      <c r="A5" t="s">
        <v>33</v>
      </c>
      <c r="B5">
        <v>35.6247414</v>
      </c>
      <c r="C5">
        <v>937</v>
      </c>
    </row>
    <row r="6" spans="1:6">
      <c r="A6" t="s">
        <v>33</v>
      </c>
      <c r="B6">
        <v>92.0651606</v>
      </c>
      <c r="C6">
        <v>414</v>
      </c>
    </row>
    <row r="7" spans="1:6">
      <c r="A7" t="s">
        <v>24</v>
      </c>
      <c r="B7">
        <v>56.76647556</v>
      </c>
      <c r="C7">
        <v>104</v>
      </c>
    </row>
    <row r="8" spans="1:6">
      <c r="A8" t="s">
        <v>33</v>
      </c>
      <c r="B8">
        <v>1.08506857</v>
      </c>
      <c r="C8">
        <v>314</v>
      </c>
    </row>
    <row r="9" spans="1:6">
      <c r="A9" t="s">
        <v>57</v>
      </c>
      <c r="B9">
        <v>99.4661086</v>
      </c>
      <c r="C9">
        <v>564</v>
      </c>
    </row>
    <row r="10" spans="1:6">
      <c r="A10" t="s">
        <v>57</v>
      </c>
      <c r="B10">
        <v>11.42302714</v>
      </c>
      <c r="C10">
        <v>769</v>
      </c>
    </row>
    <row r="11" spans="1:6">
      <c r="A11" t="s">
        <v>33</v>
      </c>
      <c r="B11">
        <v>47.95760163</v>
      </c>
      <c r="C11">
        <v>963</v>
      </c>
    </row>
    <row r="12" spans="1:6">
      <c r="A12" t="s">
        <v>33</v>
      </c>
      <c r="B12">
        <v>96.52735279</v>
      </c>
      <c r="C12">
        <v>830</v>
      </c>
    </row>
    <row r="13" spans="1:6">
      <c r="A13" t="s">
        <v>33</v>
      </c>
      <c r="B13">
        <v>27.59236309</v>
      </c>
      <c r="C13">
        <v>362</v>
      </c>
    </row>
    <row r="14" spans="1:6">
      <c r="A14" t="s">
        <v>24</v>
      </c>
      <c r="B14">
        <v>32.32128621</v>
      </c>
      <c r="C14">
        <v>563</v>
      </c>
    </row>
    <row r="15" spans="1:6">
      <c r="A15" t="s">
        <v>33</v>
      </c>
      <c r="B15">
        <v>97.82905011</v>
      </c>
      <c r="C15">
        <v>173</v>
      </c>
    </row>
    <row r="16" spans="1:6">
      <c r="A16" t="s">
        <v>33</v>
      </c>
      <c r="B16">
        <v>5.79143663</v>
      </c>
      <c r="C16">
        <v>558</v>
      </c>
    </row>
    <row r="17" spans="1:3">
      <c r="A17" t="s">
        <v>33</v>
      </c>
      <c r="B17">
        <v>97.12128175</v>
      </c>
      <c r="C17">
        <v>580</v>
      </c>
    </row>
    <row r="18" spans="1:3">
      <c r="A18" t="s">
        <v>33</v>
      </c>
      <c r="B18">
        <v>77.1063425</v>
      </c>
      <c r="C18">
        <v>399</v>
      </c>
    </row>
    <row r="19" spans="1:3">
      <c r="A19" t="s">
        <v>57</v>
      </c>
      <c r="B19">
        <v>47.67968037</v>
      </c>
      <c r="C19">
        <v>453</v>
      </c>
    </row>
    <row r="20" spans="1:3">
      <c r="A20" t="s">
        <v>24</v>
      </c>
      <c r="B20">
        <v>27.10798085</v>
      </c>
      <c r="C20">
        <v>374</v>
      </c>
    </row>
    <row r="21" spans="1:3">
      <c r="A21" t="s">
        <v>33</v>
      </c>
      <c r="B21">
        <v>82.37332059</v>
      </c>
      <c r="C21">
        <v>694</v>
      </c>
    </row>
    <row r="22" spans="1:3">
      <c r="A22" t="s">
        <v>33</v>
      </c>
      <c r="B22">
        <v>65.68625961</v>
      </c>
      <c r="C22">
        <v>309</v>
      </c>
    </row>
    <row r="23" spans="1:3">
      <c r="A23" t="s">
        <v>57</v>
      </c>
      <c r="B23">
        <v>61.73572895</v>
      </c>
      <c r="C23">
        <v>791</v>
      </c>
    </row>
    <row r="24" spans="1:3">
      <c r="A24" t="s">
        <v>24</v>
      </c>
      <c r="B24">
        <v>50.12083961</v>
      </c>
      <c r="C24">
        <v>780</v>
      </c>
    </row>
    <row r="25" spans="1:3">
      <c r="A25" t="s">
        <v>57</v>
      </c>
      <c r="B25">
        <v>98.60995724</v>
      </c>
      <c r="C25">
        <v>568</v>
      </c>
    </row>
    <row r="26" spans="1:3">
      <c r="A26" t="s">
        <v>24</v>
      </c>
      <c r="B26">
        <v>40.3823597</v>
      </c>
      <c r="C26">
        <v>447</v>
      </c>
    </row>
    <row r="27" spans="1:3">
      <c r="A27" t="s">
        <v>24</v>
      </c>
      <c r="B27">
        <v>78.28038312</v>
      </c>
      <c r="C27">
        <v>934</v>
      </c>
    </row>
    <row r="28" spans="1:3">
      <c r="A28" t="s">
        <v>24</v>
      </c>
      <c r="B28">
        <v>15.97222976</v>
      </c>
      <c r="C28">
        <v>171</v>
      </c>
    </row>
    <row r="29" spans="1:3">
      <c r="A29" t="s">
        <v>57</v>
      </c>
      <c r="B29">
        <v>10.52824507</v>
      </c>
      <c r="C29">
        <v>291</v>
      </c>
    </row>
    <row r="30" spans="1:3">
      <c r="A30" t="s">
        <v>57</v>
      </c>
      <c r="B30">
        <v>59.42938181</v>
      </c>
      <c r="C30">
        <v>171</v>
      </c>
    </row>
    <row r="31" spans="1:3">
      <c r="A31" t="s">
        <v>57</v>
      </c>
      <c r="B31">
        <v>39.29287559</v>
      </c>
      <c r="C31">
        <v>329</v>
      </c>
    </row>
    <row r="32" spans="1:3">
      <c r="A32" t="s">
        <v>24</v>
      </c>
      <c r="B32">
        <v>51.6348934</v>
      </c>
      <c r="C32">
        <v>806</v>
      </c>
    </row>
    <row r="33" spans="1:3">
      <c r="A33" t="s">
        <v>33</v>
      </c>
      <c r="B33">
        <v>60.25114566</v>
      </c>
      <c r="C33">
        <v>461</v>
      </c>
    </row>
    <row r="34" spans="1:3">
      <c r="A34" t="s">
        <v>33</v>
      </c>
      <c r="B34">
        <v>29.69246715</v>
      </c>
      <c r="C34">
        <v>737</v>
      </c>
    </row>
    <row r="35" spans="1:3">
      <c r="A35" t="s">
        <v>57</v>
      </c>
      <c r="B35">
        <v>23.85342751</v>
      </c>
      <c r="C35">
        <v>251</v>
      </c>
    </row>
    <row r="36" spans="1:3">
      <c r="A36" t="s">
        <v>33</v>
      </c>
      <c r="B36">
        <v>10.75427282</v>
      </c>
      <c r="C36">
        <v>452</v>
      </c>
    </row>
    <row r="37" spans="1:3">
      <c r="A37" t="s">
        <v>57</v>
      </c>
      <c r="B37">
        <v>58.00478704</v>
      </c>
      <c r="C37">
        <v>367</v>
      </c>
    </row>
    <row r="38" spans="1:3">
      <c r="A38" t="s">
        <v>33</v>
      </c>
      <c r="B38">
        <v>45.53136424</v>
      </c>
      <c r="C38">
        <v>671</v>
      </c>
    </row>
    <row r="39" spans="1:3">
      <c r="A39" t="s">
        <v>33</v>
      </c>
      <c r="B39">
        <v>34.34327747</v>
      </c>
      <c r="C39">
        <v>867</v>
      </c>
    </row>
    <row r="40" spans="1:3">
      <c r="A40" t="s">
        <v>57</v>
      </c>
      <c r="B40">
        <v>5.930693646</v>
      </c>
      <c r="C40">
        <v>841</v>
      </c>
    </row>
    <row r="41" spans="1:3">
      <c r="A41" t="s">
        <v>33</v>
      </c>
      <c r="B41">
        <v>9.005807429</v>
      </c>
      <c r="C41">
        <v>791</v>
      </c>
    </row>
    <row r="42" spans="1:3">
      <c r="A42" t="s">
        <v>33</v>
      </c>
      <c r="B42">
        <v>88.1794071</v>
      </c>
      <c r="C42">
        <v>793</v>
      </c>
    </row>
    <row r="43" spans="1:3">
      <c r="A43" t="s">
        <v>33</v>
      </c>
      <c r="B43">
        <v>95.33206455</v>
      </c>
      <c r="C43">
        <v>892</v>
      </c>
    </row>
    <row r="44" spans="1:3">
      <c r="A44" t="s">
        <v>33</v>
      </c>
      <c r="B44">
        <v>96.42282064</v>
      </c>
      <c r="C44">
        <v>179</v>
      </c>
    </row>
    <row r="45" spans="1:3">
      <c r="A45" t="s">
        <v>24</v>
      </c>
      <c r="B45">
        <v>26.27736596</v>
      </c>
      <c r="C45">
        <v>206</v>
      </c>
    </row>
    <row r="46" spans="1:3">
      <c r="A46" t="s">
        <v>57</v>
      </c>
      <c r="B46">
        <v>22.55410662</v>
      </c>
      <c r="C46">
        <v>834</v>
      </c>
    </row>
    <row r="47" spans="1:3">
      <c r="A47" t="s">
        <v>24</v>
      </c>
      <c r="B47">
        <v>66.31254444</v>
      </c>
      <c r="C47">
        <v>794</v>
      </c>
    </row>
    <row r="48" spans="1:3">
      <c r="A48" t="s">
        <v>24</v>
      </c>
      <c r="B48">
        <v>77.32235321</v>
      </c>
      <c r="C48">
        <v>870</v>
      </c>
    </row>
    <row r="49" spans="1:3">
      <c r="A49" t="s">
        <v>33</v>
      </c>
      <c r="B49">
        <v>19.71299291</v>
      </c>
      <c r="C49">
        <v>964</v>
      </c>
    </row>
    <row r="50" spans="1:3">
      <c r="A50" t="s">
        <v>24</v>
      </c>
      <c r="B50">
        <v>23.12636358</v>
      </c>
      <c r="C50">
        <v>109</v>
      </c>
    </row>
    <row r="51" spans="1:3">
      <c r="A51" t="s">
        <v>57</v>
      </c>
      <c r="B51">
        <v>14.14781544</v>
      </c>
      <c r="C51">
        <v>177</v>
      </c>
    </row>
    <row r="52" spans="1:3">
      <c r="A52" t="s">
        <v>57</v>
      </c>
      <c r="B52">
        <v>45.17875792</v>
      </c>
      <c r="C52">
        <v>306</v>
      </c>
    </row>
    <row r="53" spans="1:3">
      <c r="A53" t="s">
        <v>24</v>
      </c>
      <c r="B53">
        <v>14.19032834</v>
      </c>
      <c r="C53">
        <v>673</v>
      </c>
    </row>
    <row r="54" spans="1:3">
      <c r="A54" t="s">
        <v>33</v>
      </c>
      <c r="B54">
        <v>9.166849149</v>
      </c>
      <c r="C54">
        <v>727</v>
      </c>
    </row>
    <row r="55" spans="1:3">
      <c r="A55" t="s">
        <v>33</v>
      </c>
      <c r="B55">
        <v>83.34405899</v>
      </c>
      <c r="C55">
        <v>631</v>
      </c>
    </row>
    <row r="56" spans="1:3">
      <c r="A56" t="s">
        <v>24</v>
      </c>
      <c r="B56">
        <v>30.18602338</v>
      </c>
      <c r="C56">
        <v>497</v>
      </c>
    </row>
    <row r="57" spans="1:3">
      <c r="A57" t="s">
        <v>24</v>
      </c>
      <c r="B57">
        <v>30.32354526</v>
      </c>
      <c r="C57">
        <v>918</v>
      </c>
    </row>
    <row r="58" spans="1:3">
      <c r="A58" t="s">
        <v>33</v>
      </c>
      <c r="B58">
        <v>12.83628457</v>
      </c>
      <c r="C58">
        <v>826</v>
      </c>
    </row>
    <row r="59" spans="1:3">
      <c r="A59" t="s">
        <v>24</v>
      </c>
      <c r="B59">
        <v>67.77962299</v>
      </c>
      <c r="C59">
        <v>588</v>
      </c>
    </row>
    <row r="60" spans="1:3">
      <c r="A60" t="s">
        <v>33</v>
      </c>
      <c r="B60">
        <v>65.04741509</v>
      </c>
      <c r="C60">
        <v>396</v>
      </c>
    </row>
    <row r="61" spans="1:3">
      <c r="A61" t="s">
        <v>57</v>
      </c>
      <c r="B61">
        <v>1.900762244</v>
      </c>
      <c r="C61">
        <v>176</v>
      </c>
    </row>
    <row r="62" spans="1:3">
      <c r="A62" t="s">
        <v>33</v>
      </c>
      <c r="B62">
        <v>87.21305782</v>
      </c>
      <c r="C62">
        <v>929</v>
      </c>
    </row>
    <row r="63" spans="1:3">
      <c r="A63" t="s">
        <v>24</v>
      </c>
      <c r="B63">
        <v>78.70239397</v>
      </c>
      <c r="C63">
        <v>480</v>
      </c>
    </row>
    <row r="64" spans="1:3">
      <c r="A64" t="s">
        <v>57</v>
      </c>
      <c r="B64">
        <v>21.04864273</v>
      </c>
      <c r="C64">
        <v>751</v>
      </c>
    </row>
    <row r="65" spans="1:3">
      <c r="A65" t="s">
        <v>33</v>
      </c>
      <c r="B65">
        <v>20.07500398</v>
      </c>
      <c r="C65">
        <v>736</v>
      </c>
    </row>
    <row r="66" spans="1:3">
      <c r="A66" t="s">
        <v>33</v>
      </c>
      <c r="B66">
        <v>8.693042426</v>
      </c>
      <c r="C66">
        <v>328</v>
      </c>
    </row>
    <row r="67" spans="1:3">
      <c r="A67" t="s">
        <v>33</v>
      </c>
      <c r="B67">
        <v>1.597222743</v>
      </c>
      <c r="C67">
        <v>358</v>
      </c>
    </row>
    <row r="68" spans="1:3">
      <c r="A68" t="s">
        <v>33</v>
      </c>
      <c r="B68">
        <v>42.08443674</v>
      </c>
      <c r="C68">
        <v>867</v>
      </c>
    </row>
    <row r="69" spans="1:3">
      <c r="A69" t="s">
        <v>33</v>
      </c>
      <c r="B69">
        <v>7.057876147</v>
      </c>
      <c r="C69">
        <v>198</v>
      </c>
    </row>
    <row r="70" spans="1:3">
      <c r="A70" t="s">
        <v>24</v>
      </c>
      <c r="B70">
        <v>97.11358156</v>
      </c>
      <c r="C70">
        <v>375</v>
      </c>
    </row>
    <row r="71" spans="1:3">
      <c r="A71" t="s">
        <v>33</v>
      </c>
      <c r="B71">
        <v>77.62776581</v>
      </c>
      <c r="C71">
        <v>862</v>
      </c>
    </row>
    <row r="72" spans="1:3">
      <c r="A72" t="s">
        <v>24</v>
      </c>
      <c r="B72">
        <v>11.44078182</v>
      </c>
      <c r="C72">
        <v>775</v>
      </c>
    </row>
    <row r="73" spans="1:3">
      <c r="A73" t="s">
        <v>57</v>
      </c>
      <c r="B73">
        <v>30.66167748</v>
      </c>
      <c r="C73">
        <v>258</v>
      </c>
    </row>
    <row r="74" spans="1:3">
      <c r="A74" t="s">
        <v>57</v>
      </c>
      <c r="B74">
        <v>55.7604929</v>
      </c>
      <c r="C74">
        <v>152</v>
      </c>
    </row>
    <row r="75" spans="1:3">
      <c r="A75" t="s">
        <v>57</v>
      </c>
      <c r="B75">
        <v>46.8702388</v>
      </c>
      <c r="C75">
        <v>444</v>
      </c>
    </row>
    <row r="76" spans="1:3">
      <c r="A76" t="s">
        <v>24</v>
      </c>
      <c r="B76">
        <v>80.58085216</v>
      </c>
      <c r="C76">
        <v>919</v>
      </c>
    </row>
    <row r="77" spans="1:3">
      <c r="A77" t="s">
        <v>33</v>
      </c>
      <c r="B77">
        <v>48.06478264</v>
      </c>
      <c r="C77">
        <v>759</v>
      </c>
    </row>
    <row r="78" spans="1:3">
      <c r="A78" t="s">
        <v>24</v>
      </c>
      <c r="B78">
        <v>64.3235978</v>
      </c>
      <c r="C78">
        <v>985</v>
      </c>
    </row>
    <row r="79" spans="1:3">
      <c r="A79" t="s">
        <v>24</v>
      </c>
      <c r="B79">
        <v>42.95244475</v>
      </c>
      <c r="C79">
        <v>334</v>
      </c>
    </row>
    <row r="80" spans="1:3">
      <c r="A80" t="s">
        <v>24</v>
      </c>
      <c r="B80">
        <v>71.12651472</v>
      </c>
      <c r="C80">
        <v>858</v>
      </c>
    </row>
    <row r="81" spans="1:3">
      <c r="A81" t="s">
        <v>24</v>
      </c>
      <c r="B81">
        <v>57.87090292</v>
      </c>
      <c r="C81">
        <v>228</v>
      </c>
    </row>
    <row r="82" spans="1:3">
      <c r="A82" t="s">
        <v>33</v>
      </c>
      <c r="B82">
        <v>76.96122802</v>
      </c>
      <c r="C82">
        <v>202</v>
      </c>
    </row>
    <row r="83" spans="1:3">
      <c r="A83" t="s">
        <v>24</v>
      </c>
      <c r="B83">
        <v>19.78959294</v>
      </c>
      <c r="C83">
        <v>698</v>
      </c>
    </row>
    <row r="84" spans="1:3">
      <c r="A84" t="s">
        <v>33</v>
      </c>
      <c r="B84">
        <v>4.465278435</v>
      </c>
      <c r="C84">
        <v>955</v>
      </c>
    </row>
    <row r="85" spans="1:3">
      <c r="A85" t="s">
        <v>24</v>
      </c>
      <c r="B85">
        <v>97.7305938</v>
      </c>
      <c r="C85">
        <v>443</v>
      </c>
    </row>
    <row r="86" spans="1:3">
      <c r="A86" t="s">
        <v>24</v>
      </c>
      <c r="B86">
        <v>33.80863651</v>
      </c>
      <c r="C86">
        <v>589</v>
      </c>
    </row>
    <row r="87" spans="1:3">
      <c r="A87" t="s">
        <v>57</v>
      </c>
      <c r="B87">
        <v>69.92934552</v>
      </c>
      <c r="C87">
        <v>211</v>
      </c>
    </row>
    <row r="88" spans="1:3">
      <c r="A88" t="s">
        <v>33</v>
      </c>
      <c r="B88">
        <v>74.60897</v>
      </c>
      <c r="C88">
        <v>569</v>
      </c>
    </row>
    <row r="89" spans="1:3">
      <c r="A89" t="s">
        <v>24</v>
      </c>
      <c r="B89">
        <v>28.69699682</v>
      </c>
      <c r="C89">
        <v>523</v>
      </c>
    </row>
    <row r="90" spans="1:3">
      <c r="A90" t="s">
        <v>57</v>
      </c>
      <c r="B90">
        <v>68.18491906</v>
      </c>
      <c r="C90">
        <v>953</v>
      </c>
    </row>
    <row r="91" spans="1:3">
      <c r="A91" t="s">
        <v>57</v>
      </c>
      <c r="B91">
        <v>46.60387338</v>
      </c>
      <c r="C91">
        <v>370</v>
      </c>
    </row>
    <row r="92" spans="1:3">
      <c r="A92" t="s">
        <v>33</v>
      </c>
      <c r="B92">
        <v>85.67596334</v>
      </c>
      <c r="C92">
        <v>585</v>
      </c>
    </row>
    <row r="93" spans="1:3">
      <c r="A93" t="s">
        <v>57</v>
      </c>
      <c r="B93">
        <v>39.7728825</v>
      </c>
      <c r="C93">
        <v>207</v>
      </c>
    </row>
    <row r="94" spans="1:3">
      <c r="A94" t="s">
        <v>57</v>
      </c>
      <c r="B94">
        <v>62.6126904</v>
      </c>
      <c r="C94">
        <v>671</v>
      </c>
    </row>
    <row r="95" spans="1:3">
      <c r="A95" t="s">
        <v>24</v>
      </c>
      <c r="B95">
        <v>35.63365234</v>
      </c>
      <c r="C95">
        <v>824</v>
      </c>
    </row>
    <row r="96" spans="1:3">
      <c r="A96" t="s">
        <v>57</v>
      </c>
      <c r="B96">
        <v>60.38737861</v>
      </c>
      <c r="C96">
        <v>908</v>
      </c>
    </row>
    <row r="97" spans="1:3">
      <c r="A97" t="s">
        <v>24</v>
      </c>
      <c r="B97">
        <v>58.89068577</v>
      </c>
      <c r="C97">
        <v>450</v>
      </c>
    </row>
    <row r="98" spans="1:3">
      <c r="A98" t="s">
        <v>57</v>
      </c>
      <c r="B98">
        <v>17.80375633</v>
      </c>
      <c r="C98">
        <v>648</v>
      </c>
    </row>
    <row r="99" spans="1:3">
      <c r="A99" t="s">
        <v>24</v>
      </c>
      <c r="B99">
        <v>65.76515593</v>
      </c>
      <c r="C99">
        <v>535</v>
      </c>
    </row>
    <row r="100" spans="1:3">
      <c r="A100" t="s">
        <v>33</v>
      </c>
      <c r="B100">
        <v>5.604690864</v>
      </c>
      <c r="C100">
        <v>581</v>
      </c>
    </row>
    <row r="101" spans="1:3">
      <c r="A101" t="s">
        <v>24</v>
      </c>
      <c r="B101">
        <v>38.07289852</v>
      </c>
      <c r="C101">
        <v>921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4" sqref="H24"/>
    </sheetView>
  </sheetViews>
  <sheetFormatPr defaultColWidth="9" defaultRowHeight="14.4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selection activeCell="I29" sqref="I29"/>
    </sheetView>
  </sheetViews>
  <sheetFormatPr defaultColWidth="9" defaultRowHeight="14.4"/>
  <cols>
    <col min="2" max="2" width="25" customWidth="1"/>
    <col min="7" max="7" width="18" customWidth="1"/>
    <col min="8" max="8" width="12.712962962963" customWidth="1"/>
    <col min="9" max="9" width="14.5740740740741" customWidth="1"/>
    <col min="11" max="11" width="12" customWidth="1"/>
    <col min="12" max="12" width="13.4259259259259" customWidth="1"/>
    <col min="13" max="13" width="12" customWidth="1"/>
    <col min="14" max="14" width="12.712962962963" customWidth="1"/>
    <col min="15" max="15" width="12.5740740740741" customWidth="1"/>
  </cols>
  <sheetData>
    <row r="1" spans="1:8">
      <c r="A1" t="s">
        <v>2</v>
      </c>
      <c r="B1" t="s">
        <v>4</v>
      </c>
    </row>
    <row r="2" spans="1:8">
      <c r="A2">
        <v>69.80800554</v>
      </c>
      <c r="B2">
        <v>802</v>
      </c>
      <c r="D2" t="s">
        <v>158</v>
      </c>
    </row>
    <row r="3" spans="1:8">
      <c r="A3">
        <v>14.84352328</v>
      </c>
      <c r="B3">
        <v>736</v>
      </c>
      <c r="D3">
        <f>CORREL(A2:A101,B2:B101)</f>
        <v>0.00573948438972375</v>
      </c>
    </row>
    <row r="4" spans="1:8">
      <c r="A4">
        <v>11.31968329</v>
      </c>
      <c r="B4">
        <v>8</v>
      </c>
    </row>
    <row r="5" spans="1:8">
      <c r="A5">
        <v>61.16334302</v>
      </c>
      <c r="B5">
        <v>83</v>
      </c>
    </row>
    <row r="6" spans="1:8">
      <c r="A6">
        <v>4.805496036</v>
      </c>
      <c r="B6">
        <v>871</v>
      </c>
    </row>
    <row r="7" spans="1:8">
      <c r="A7">
        <v>1.699976014</v>
      </c>
      <c r="B7">
        <v>147</v>
      </c>
    </row>
    <row r="8" spans="1:8">
      <c r="A8">
        <v>4.078332863</v>
      </c>
      <c r="B8">
        <v>65</v>
      </c>
      <c r="G8" t="s">
        <v>159</v>
      </c>
    </row>
    <row r="9" ht="15.15" spans="1:8">
      <c r="A9">
        <v>42.95838438</v>
      </c>
      <c r="B9">
        <v>426</v>
      </c>
    </row>
    <row r="10" spans="1:8">
      <c r="A10">
        <v>68.71759675</v>
      </c>
      <c r="B10">
        <v>150</v>
      </c>
      <c r="G10" s="1" t="s">
        <v>160</v>
      </c>
      <c r="H10" s="1"/>
    </row>
    <row r="11" spans="1:8">
      <c r="A11">
        <v>64.01573294</v>
      </c>
      <c r="B11">
        <v>980</v>
      </c>
      <c r="G11" s="2" t="s">
        <v>161</v>
      </c>
      <c r="H11" s="2">
        <v>0.00573948438967018</v>
      </c>
    </row>
    <row r="12" spans="1:8">
      <c r="A12">
        <v>15.70779568</v>
      </c>
      <c r="B12">
        <v>996</v>
      </c>
      <c r="G12" s="2" t="s">
        <v>162</v>
      </c>
      <c r="H12" s="2">
        <v>3.29416810592677e-5</v>
      </c>
    </row>
    <row r="13" spans="1:8">
      <c r="A13">
        <v>90.63545998</v>
      </c>
      <c r="B13">
        <v>960</v>
      </c>
      <c r="G13" s="2" t="s">
        <v>163</v>
      </c>
      <c r="H13" s="2">
        <v>-0.0101708038119911</v>
      </c>
    </row>
    <row r="14" spans="1:8">
      <c r="A14">
        <v>71.21338908</v>
      </c>
      <c r="B14">
        <v>336</v>
      </c>
      <c r="G14" s="2" t="s">
        <v>164</v>
      </c>
      <c r="H14" s="2">
        <v>305.321009331068</v>
      </c>
    </row>
    <row r="15" ht="15.15" spans="1:8">
      <c r="A15">
        <v>16.16039332</v>
      </c>
      <c r="B15">
        <v>249</v>
      </c>
      <c r="G15" s="3" t="s">
        <v>165</v>
      </c>
      <c r="H15" s="3">
        <v>100</v>
      </c>
    </row>
    <row r="16" spans="1:8">
      <c r="A16">
        <v>99.17132864</v>
      </c>
      <c r="B16">
        <v>562</v>
      </c>
    </row>
    <row r="17" ht="15.15" spans="1:15">
      <c r="A17">
        <v>36.98924493</v>
      </c>
      <c r="B17">
        <v>469</v>
      </c>
      <c r="G17" t="s">
        <v>166</v>
      </c>
    </row>
    <row r="18" spans="1:15">
      <c r="A18">
        <v>7.54717211</v>
      </c>
      <c r="B18">
        <v>280</v>
      </c>
      <c r="G18" s="4"/>
      <c r="H18" s="4" t="s">
        <v>167</v>
      </c>
      <c r="I18" s="4" t="s">
        <v>168</v>
      </c>
      <c r="J18" s="4" t="s">
        <v>169</v>
      </c>
      <c r="K18" s="4" t="s">
        <v>170</v>
      </c>
      <c r="L18" s="4" t="s">
        <v>171</v>
      </c>
    </row>
    <row r="19" spans="1:15">
      <c r="A19">
        <v>81.46253437</v>
      </c>
      <c r="B19">
        <v>126</v>
      </c>
      <c r="G19" s="2" t="s">
        <v>172</v>
      </c>
      <c r="H19" s="2">
        <v>1</v>
      </c>
      <c r="I19" s="2">
        <v>300.953583685681</v>
      </c>
      <c r="J19" s="2">
        <v>300.953583685681</v>
      </c>
      <c r="K19" s="2">
        <v>0.00322839109243794</v>
      </c>
      <c r="L19" s="2">
        <v>0.954805118997566</v>
      </c>
    </row>
    <row r="20" spans="1:15">
      <c r="A20">
        <v>36.44362777</v>
      </c>
      <c r="B20">
        <v>620</v>
      </c>
      <c r="G20" s="2" t="s">
        <v>173</v>
      </c>
      <c r="H20" s="2">
        <v>98</v>
      </c>
      <c r="I20" s="2">
        <v>9135650.03641631</v>
      </c>
      <c r="J20" s="2">
        <v>93220.918738942</v>
      </c>
      <c r="K20" s="2"/>
      <c r="L20" s="2"/>
    </row>
    <row r="21" ht="15.15" spans="1:15">
      <c r="A21">
        <v>51.12387009</v>
      </c>
      <c r="B21">
        <v>187</v>
      </c>
      <c r="G21" s="3" t="s">
        <v>174</v>
      </c>
      <c r="H21" s="3">
        <v>99</v>
      </c>
      <c r="I21" s="3">
        <v>9135950.99</v>
      </c>
      <c r="J21" s="3"/>
      <c r="K21" s="3"/>
      <c r="L21" s="3"/>
    </row>
    <row r="22" ht="15.15" spans="1:15">
      <c r="A22">
        <v>96.34107244</v>
      </c>
      <c r="B22">
        <v>320</v>
      </c>
    </row>
    <row r="23" spans="1:15">
      <c r="A23">
        <v>84.89386898</v>
      </c>
      <c r="B23">
        <v>601</v>
      </c>
      <c r="G23" s="4"/>
      <c r="H23" s="4" t="s">
        <v>175</v>
      </c>
      <c r="I23" s="4" t="s">
        <v>164</v>
      </c>
      <c r="J23" s="4" t="s">
        <v>176</v>
      </c>
      <c r="K23" s="4" t="s">
        <v>177</v>
      </c>
      <c r="L23" s="4" t="s">
        <v>178</v>
      </c>
      <c r="M23" s="4" t="s">
        <v>179</v>
      </c>
      <c r="N23" s="4" t="s">
        <v>180</v>
      </c>
      <c r="O23" s="4" t="s">
        <v>181</v>
      </c>
    </row>
    <row r="24" spans="1:15">
      <c r="A24">
        <v>27.67978089</v>
      </c>
      <c r="B24">
        <v>884</v>
      </c>
      <c r="G24" s="2" t="s">
        <v>182</v>
      </c>
      <c r="H24" s="2">
        <v>458.223082148183</v>
      </c>
      <c r="I24" s="2">
        <v>57.4771066312933</v>
      </c>
      <c r="J24" s="2">
        <v>7.97227120508367</v>
      </c>
      <c r="K24" s="2">
        <v>2.90696145476633e-12</v>
      </c>
      <c r="L24" s="2">
        <v>344.161634659068</v>
      </c>
      <c r="M24" s="2">
        <v>572.284529637298</v>
      </c>
      <c r="N24" s="2">
        <v>344.161634659068</v>
      </c>
      <c r="O24" s="2">
        <v>572.284529637298</v>
      </c>
    </row>
    <row r="25" ht="15.15" spans="1:15">
      <c r="A25">
        <v>4.324341186</v>
      </c>
      <c r="B25">
        <v>391</v>
      </c>
      <c r="G25" s="3" t="s">
        <v>183</v>
      </c>
      <c r="H25" s="3">
        <v>0.0559397526241759</v>
      </c>
      <c r="I25" s="3">
        <v>0.984526638305641</v>
      </c>
      <c r="J25" s="3">
        <v>0.0568189325181161</v>
      </c>
      <c r="K25" s="3">
        <v>0.954805118997145</v>
      </c>
      <c r="L25" s="3">
        <v>-1.89782131919001</v>
      </c>
      <c r="M25" s="3">
        <v>2.00970082443836</v>
      </c>
      <c r="N25" s="3">
        <v>-1.89782131919001</v>
      </c>
      <c r="O25" s="3">
        <v>2.00970082443836</v>
      </c>
    </row>
    <row r="26" spans="1:15">
      <c r="A26">
        <v>4.156308359</v>
      </c>
      <c r="B26">
        <v>209</v>
      </c>
    </row>
    <row r="27" spans="1:15">
      <c r="A27">
        <v>39.62934399</v>
      </c>
      <c r="B27">
        <v>142</v>
      </c>
    </row>
    <row r="28" spans="1:15">
      <c r="A28">
        <v>97.44694662</v>
      </c>
      <c r="B28">
        <v>353</v>
      </c>
    </row>
    <row r="29" spans="1:15">
      <c r="A29">
        <v>92.55736081</v>
      </c>
      <c r="B29">
        <v>352</v>
      </c>
    </row>
    <row r="30" spans="1:15">
      <c r="A30">
        <v>2.397274706</v>
      </c>
      <c r="B30">
        <v>394</v>
      </c>
    </row>
    <row r="31" spans="1:15">
      <c r="A31">
        <v>63.44755919</v>
      </c>
      <c r="B31">
        <v>253</v>
      </c>
    </row>
    <row r="32" spans="1:15">
      <c r="A32">
        <v>8.022859211</v>
      </c>
      <c r="B32">
        <v>327</v>
      </c>
    </row>
    <row r="33" spans="1:2">
      <c r="A33">
        <v>50.84739305</v>
      </c>
      <c r="B33">
        <v>168</v>
      </c>
    </row>
    <row r="34" spans="1:2">
      <c r="A34">
        <v>79.20993602</v>
      </c>
      <c r="B34">
        <v>781</v>
      </c>
    </row>
    <row r="35" spans="1:2">
      <c r="A35">
        <v>64.795435</v>
      </c>
      <c r="B35">
        <v>616</v>
      </c>
    </row>
    <row r="36" spans="1:2">
      <c r="A36">
        <v>37.46759233</v>
      </c>
      <c r="B36">
        <v>602</v>
      </c>
    </row>
    <row r="37" spans="1:2">
      <c r="A37">
        <v>84.95778682</v>
      </c>
      <c r="B37">
        <v>449</v>
      </c>
    </row>
    <row r="38" spans="1:2">
      <c r="A38">
        <v>9.813002579</v>
      </c>
      <c r="B38">
        <v>963</v>
      </c>
    </row>
    <row r="39" spans="1:2">
      <c r="A39">
        <v>23.39984475</v>
      </c>
      <c r="B39">
        <v>963</v>
      </c>
    </row>
    <row r="40" spans="1:2">
      <c r="A40">
        <v>52.07593068</v>
      </c>
      <c r="B40">
        <v>705</v>
      </c>
    </row>
    <row r="41" spans="1:2">
      <c r="A41">
        <v>19.12747727</v>
      </c>
      <c r="B41">
        <v>176</v>
      </c>
    </row>
    <row r="42" spans="1:2">
      <c r="A42">
        <v>80.54142417</v>
      </c>
      <c r="B42">
        <v>933</v>
      </c>
    </row>
    <row r="43" spans="1:2">
      <c r="A43">
        <v>99.11329162</v>
      </c>
      <c r="B43">
        <v>556</v>
      </c>
    </row>
    <row r="44" spans="1:2">
      <c r="A44">
        <v>46.52916761</v>
      </c>
      <c r="B44">
        <v>155</v>
      </c>
    </row>
    <row r="45" spans="1:2">
      <c r="A45">
        <v>11.74327178</v>
      </c>
      <c r="B45">
        <v>598</v>
      </c>
    </row>
    <row r="46" spans="1:2">
      <c r="A46">
        <v>51.35579091</v>
      </c>
      <c r="B46">
        <v>919</v>
      </c>
    </row>
    <row r="47" spans="1:2">
      <c r="A47">
        <v>33.78413803</v>
      </c>
      <c r="B47">
        <v>24</v>
      </c>
    </row>
    <row r="48" spans="1:2">
      <c r="A48">
        <v>27.0822072</v>
      </c>
      <c r="B48">
        <v>859</v>
      </c>
    </row>
    <row r="49" spans="1:2">
      <c r="A49">
        <v>95.71213588</v>
      </c>
      <c r="B49">
        <v>910</v>
      </c>
    </row>
    <row r="50" spans="1:2">
      <c r="A50">
        <v>76.03554443</v>
      </c>
      <c r="B50">
        <v>29</v>
      </c>
    </row>
    <row r="51" spans="1:2">
      <c r="A51">
        <v>78.89791321</v>
      </c>
      <c r="B51">
        <v>99</v>
      </c>
    </row>
    <row r="52" spans="1:2">
      <c r="A52">
        <v>14.20348426</v>
      </c>
      <c r="B52">
        <v>633</v>
      </c>
    </row>
    <row r="53" spans="1:2">
      <c r="A53">
        <v>26.70076097</v>
      </c>
      <c r="B53">
        <v>154</v>
      </c>
    </row>
    <row r="54" spans="1:2">
      <c r="A54">
        <v>98.03182966</v>
      </c>
      <c r="B54">
        <v>820</v>
      </c>
    </row>
    <row r="55" spans="1:2">
      <c r="A55">
        <v>30.34147071</v>
      </c>
      <c r="B55">
        <v>242</v>
      </c>
    </row>
    <row r="56" spans="1:2">
      <c r="A56">
        <v>31.14624316</v>
      </c>
      <c r="B56">
        <v>622</v>
      </c>
    </row>
    <row r="57" spans="1:2">
      <c r="A57">
        <v>79.85505834</v>
      </c>
      <c r="B57">
        <v>701</v>
      </c>
    </row>
    <row r="58" spans="1:2">
      <c r="A58">
        <v>20.98638604</v>
      </c>
      <c r="B58">
        <v>93</v>
      </c>
    </row>
    <row r="59" spans="1:2">
      <c r="A59">
        <v>49.26320535</v>
      </c>
      <c r="B59">
        <v>227</v>
      </c>
    </row>
    <row r="60" spans="1:2">
      <c r="A60">
        <v>59.84156138</v>
      </c>
      <c r="B60">
        <v>896</v>
      </c>
    </row>
    <row r="61" spans="1:2">
      <c r="A61">
        <v>63.82839835</v>
      </c>
      <c r="B61">
        <v>484</v>
      </c>
    </row>
    <row r="62" spans="1:2">
      <c r="A62">
        <v>17.02802792</v>
      </c>
      <c r="B62">
        <v>380</v>
      </c>
    </row>
    <row r="63" spans="1:2">
      <c r="A63">
        <v>52.0287499</v>
      </c>
      <c r="B63">
        <v>117</v>
      </c>
    </row>
    <row r="64" spans="1:2">
      <c r="A64">
        <v>72.79635396</v>
      </c>
      <c r="B64">
        <v>270</v>
      </c>
    </row>
    <row r="65" spans="1:2">
      <c r="A65">
        <v>13.01737679</v>
      </c>
      <c r="B65">
        <v>246</v>
      </c>
    </row>
    <row r="66" spans="1:2">
      <c r="A66">
        <v>89.63409561</v>
      </c>
      <c r="B66">
        <v>134</v>
      </c>
    </row>
    <row r="67" spans="1:2">
      <c r="A67">
        <v>33.69771721</v>
      </c>
      <c r="B67">
        <v>457</v>
      </c>
    </row>
    <row r="68" spans="1:2">
      <c r="A68">
        <v>26.03486977</v>
      </c>
      <c r="B68">
        <v>704</v>
      </c>
    </row>
    <row r="69" spans="1:2">
      <c r="A69">
        <v>87.75543235</v>
      </c>
      <c r="B69">
        <v>513</v>
      </c>
    </row>
    <row r="70" spans="1:2">
      <c r="A70">
        <v>37.93181238</v>
      </c>
      <c r="B70">
        <v>163</v>
      </c>
    </row>
    <row r="71" spans="1:2">
      <c r="A71">
        <v>54.86552852</v>
      </c>
      <c r="B71">
        <v>511</v>
      </c>
    </row>
    <row r="72" spans="1:2">
      <c r="A72">
        <v>47.91454182</v>
      </c>
      <c r="B72">
        <v>32</v>
      </c>
    </row>
    <row r="73" spans="1:2">
      <c r="A73">
        <v>6.381533163</v>
      </c>
      <c r="B73">
        <v>637</v>
      </c>
    </row>
    <row r="74" spans="1:2">
      <c r="A74">
        <v>90.20442752</v>
      </c>
      <c r="B74">
        <v>478</v>
      </c>
    </row>
    <row r="75" spans="1:2">
      <c r="A75">
        <v>83.85101768</v>
      </c>
      <c r="B75">
        <v>375</v>
      </c>
    </row>
    <row r="76" spans="1:2">
      <c r="A76">
        <v>3.170011414</v>
      </c>
      <c r="B76">
        <v>904</v>
      </c>
    </row>
    <row r="77" spans="1:2">
      <c r="A77">
        <v>92.99688423</v>
      </c>
      <c r="B77">
        <v>106</v>
      </c>
    </row>
    <row r="78" spans="1:2">
      <c r="A78">
        <v>69.10879955</v>
      </c>
      <c r="B78">
        <v>241</v>
      </c>
    </row>
    <row r="79" spans="1:2">
      <c r="A79">
        <v>57.44974296</v>
      </c>
      <c r="B79">
        <v>359</v>
      </c>
    </row>
    <row r="80" spans="1:2">
      <c r="A80">
        <v>6.306883176</v>
      </c>
      <c r="B80">
        <v>946</v>
      </c>
    </row>
    <row r="81" spans="1:2">
      <c r="A81">
        <v>57.05703122</v>
      </c>
      <c r="B81">
        <v>198</v>
      </c>
    </row>
    <row r="82" spans="1:2">
      <c r="A82">
        <v>91.12831835</v>
      </c>
      <c r="B82">
        <v>872</v>
      </c>
    </row>
    <row r="83" spans="1:2">
      <c r="A83">
        <v>72.81920693</v>
      </c>
      <c r="B83">
        <v>774</v>
      </c>
    </row>
    <row r="84" spans="1:2">
      <c r="A84">
        <v>17.03493074</v>
      </c>
      <c r="B84">
        <v>336</v>
      </c>
    </row>
    <row r="85" spans="1:2">
      <c r="A85">
        <v>68.91124621</v>
      </c>
      <c r="B85">
        <v>663</v>
      </c>
    </row>
    <row r="86" spans="1:2">
      <c r="A86">
        <v>89.10436729</v>
      </c>
      <c r="B86">
        <v>618</v>
      </c>
    </row>
    <row r="87" spans="1:2">
      <c r="A87">
        <v>76.96299442</v>
      </c>
      <c r="B87">
        <v>25</v>
      </c>
    </row>
    <row r="88" spans="1:2">
      <c r="A88">
        <v>19.99817694</v>
      </c>
      <c r="B88">
        <v>223</v>
      </c>
    </row>
    <row r="89" spans="1:2">
      <c r="A89">
        <v>80.41403665</v>
      </c>
      <c r="B89">
        <v>79</v>
      </c>
    </row>
    <row r="90" spans="1:2">
      <c r="A90">
        <v>75.27040698</v>
      </c>
      <c r="B90">
        <v>737</v>
      </c>
    </row>
    <row r="91" spans="1:2">
      <c r="A91">
        <v>97.76008558</v>
      </c>
      <c r="B91">
        <v>134</v>
      </c>
    </row>
    <row r="92" spans="1:2">
      <c r="A92">
        <v>13.8819135</v>
      </c>
      <c r="B92">
        <v>320</v>
      </c>
    </row>
    <row r="93" spans="1:2">
      <c r="A93">
        <v>62.11196546</v>
      </c>
      <c r="B93">
        <v>916</v>
      </c>
    </row>
    <row r="94" spans="1:2">
      <c r="A94">
        <v>47.71423308</v>
      </c>
      <c r="B94">
        <v>276</v>
      </c>
    </row>
    <row r="95" spans="1:2">
      <c r="A95">
        <v>69.290831</v>
      </c>
      <c r="B95">
        <v>114</v>
      </c>
    </row>
    <row r="96" spans="1:2">
      <c r="A96">
        <v>3.037688725</v>
      </c>
      <c r="B96">
        <v>987</v>
      </c>
    </row>
    <row r="97" spans="1:2">
      <c r="A97">
        <v>77.90392722</v>
      </c>
      <c r="B97">
        <v>672</v>
      </c>
    </row>
    <row r="98" spans="1:2">
      <c r="A98">
        <v>24.42313142</v>
      </c>
      <c r="B98">
        <v>324</v>
      </c>
    </row>
    <row r="99" spans="1:2">
      <c r="A99">
        <v>3.526111259</v>
      </c>
      <c r="B99">
        <v>62</v>
      </c>
    </row>
    <row r="100" spans="1:2">
      <c r="A100">
        <v>19.75460487</v>
      </c>
      <c r="B100">
        <v>913</v>
      </c>
    </row>
    <row r="101" spans="1:2">
      <c r="A101">
        <v>68.5178327</v>
      </c>
      <c r="B101">
        <v>627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</vt:lpstr>
      <vt:lpstr> 11,pivot table and charts</vt:lpstr>
      <vt:lpstr>11, correlation</vt:lpstr>
      <vt:lpstr>12</vt:lpstr>
      <vt:lpstr>12, correlation and 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kanna</cp:lastModifiedBy>
  <dcterms:created xsi:type="dcterms:W3CDTF">2026-06-09T05:25:00Z</dcterms:created>
  <dcterms:modified xsi:type="dcterms:W3CDTF">2026-06-28T12:31:23Z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97758E2FB46B4B4BB8BEE1EEF3A0E5FA_13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